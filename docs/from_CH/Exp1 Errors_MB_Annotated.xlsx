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D" sheetId="1" state="visible" r:id="rId3"/>
    <sheet name="CSU" sheetId="2" state="visible" r:id="rId4"/>
  </sheets>
  <definedNames>
    <definedName function="false" hidden="true" localSheetId="0" name="_xlnm._FilterDatabase" vbProcedure="false">HD!$A$3:$G$134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<sst xmlns="http://schemas.openxmlformats.org/spreadsheetml/2006/main" count="600" uniqueCount="196">
  <si>
    <t xml:space="preserve">Date</t>
  </si>
  <si>
    <t xml:space="preserve">Session</t>
  </si>
  <si>
    <t xml:space="preserve">Horse</t>
  </si>
  <si>
    <t xml:space="preserve">Trial</t>
  </si>
  <si>
    <t xml:space="preserve">Trial type</t>
  </si>
  <si>
    <t xml:space="preserve">Comment</t>
  </si>
  <si>
    <t xml:space="preserve">How to decode this info for matching? Probs IGNORE this column for matching</t>
  </si>
  <si>
    <t xml:space="preserve">ExperimentDate</t>
  </si>
  <si>
    <t xml:space="preserve">Session ???</t>
  </si>
  <si>
    <t xml:space="preserve">ExperimentType</t>
  </si>
  <si>
    <t xml:space="preserve">SubjectName</t>
  </si>
  <si>
    <t xml:space="preserve">TrialNumber</t>
  </si>
  <si>
    <t xml:space="preserve">TrialType</t>
  </si>
  <si>
    <t xml:space="preserve">ErrorComment</t>
  </si>
  <si>
    <t xml:space="preserve">Inferred Logfile name</t>
  </si>
  <si>
    <t xml:space="preserve">CBF1</t>
  </si>
  <si>
    <t xml:space="preserve">Teddy</t>
  </si>
  <si>
    <t xml:space="preserve">P</t>
  </si>
  <si>
    <t xml:space="preserve">Go Button triggered early</t>
  </si>
  <si>
    <t xml:space="preserve">NoGo response when should be Go response</t>
  </si>
  <si>
    <t xml:space="preserve">Dodge</t>
  </si>
  <si>
    <t xml:space="preserve">Early horse release- button not pressed</t>
  </si>
  <si>
    <t xml:space="preserve">Late button press for GO</t>
  </si>
  <si>
    <t xml:space="preserve">?</t>
  </si>
  <si>
    <t xml:space="preserve">Filly</t>
  </si>
  <si>
    <t xml:space="preserve">Session aborted after first trial</t>
  </si>
  <si>
    <t xml:space="preserve">Ignore 1st trial of session 2 because first trial of aborted first session</t>
  </si>
  <si>
    <t xml:space="preserve">Trial 3 Late button press for GO</t>
  </si>
  <si>
    <t xml:space="preserve">Session aborted at trial 6 restart</t>
  </si>
  <si>
    <t xml:space="preserve">Session 3 start at trial 6, delete, wait time btw end of session 2 and reaching trial 6 of session 3</t>
  </si>
  <si>
    <t xml:space="preserve">Session 4-- start at trial 9</t>
  </si>
  <si>
    <t xml:space="preserve">Dougie</t>
  </si>
  <si>
    <t xml:space="preserve">Bonnie</t>
  </si>
  <si>
    <t xml:space="preserve">NoGo response when should be Go response time 18.49</t>
  </si>
  <si>
    <t xml:space="preserve">Apollo</t>
  </si>
  <si>
    <t xml:space="preserve">CBF2</t>
  </si>
  <si>
    <t xml:space="preserve">Atom</t>
  </si>
  <si>
    <t xml:space="preserve">N</t>
  </si>
  <si>
    <t xml:space="preserve">NoGo response criterion, not Go response</t>
  </si>
  <si>
    <t xml:space="preserve">Go response- operator error</t>
  </si>
  <si>
    <t xml:space="preserve">Ash</t>
  </si>
  <si>
    <t xml:space="preserve">Go response triggered but NoGo</t>
  </si>
  <si>
    <t xml:space="preserve">Slow horse release</t>
  </si>
  <si>
    <t xml:space="preserve">NoGo response when should be Go response time</t>
  </si>
  <si>
    <t xml:space="preserve">Late button press for GO-17:05- 43s delay?</t>
  </si>
  <si>
    <t xml:space="preserve">Molly</t>
  </si>
  <si>
    <t xml:space="preserve">NoGo response when should be Go response- 18:21:51- criterion response</t>
  </si>
  <si>
    <t xml:space="preserve">NoGo response when should be Go response- criterion response</t>
  </si>
  <si>
    <t xml:space="preserve">Late button press for GO- criterion</t>
  </si>
  <si>
    <t xml:space="preserve">Go response just after 60s should be crierion? </t>
  </si>
  <si>
    <t xml:space="preserve">CBR1</t>
  </si>
  <si>
    <t xml:space="preserve">CBF3</t>
  </si>
  <si>
    <t xml:space="preserve">Horse released late</t>
  </si>
  <si>
    <t xml:space="preserve">Mowgli</t>
  </si>
  <si>
    <t xml:space="preserve">Shy</t>
  </si>
  <si>
    <t xml:space="preserve">Camera battery change</t>
  </si>
  <si>
    <t xml:space="preserve">Early horse release before button not pressed</t>
  </si>
  <si>
    <t xml:space="preserve">Mess</t>
  </si>
  <si>
    <t xml:space="preserve">Wrong  test- in system as random but is fixed. </t>
  </si>
  <si>
    <t xml:space="preserve">CBR2</t>
  </si>
  <si>
    <t xml:space="preserve">CBT1</t>
  </si>
  <si>
    <t xml:space="preserve">Code needed to be adjusted- no go resp  too long, adjusted for trial 7</t>
  </si>
  <si>
    <t xml:space="preserve">Approach bucket but no nse inside</t>
  </si>
  <si>
    <t xml:space="preserve">CB?</t>
  </si>
  <si>
    <t xml:space="preserve">Check!</t>
  </si>
  <si>
    <t xml:space="preserve">Positive bucket in wrong spot- criterion response</t>
  </si>
  <si>
    <t xml:space="preserve">Did CBR2 not CBTest 1</t>
  </si>
  <si>
    <t xml:space="preserve">Was it a Go or NoGo- NoGo on log</t>
  </si>
  <si>
    <t xml:space="preserve">Late button press for GO?</t>
  </si>
  <si>
    <t xml:space="preserve">Two buckets, did not addect criterion?</t>
  </si>
  <si>
    <t xml:space="preserve">M</t>
  </si>
  <si>
    <t xml:space="preserve">Blue button not working-16:05:45</t>
  </si>
  <si>
    <t xml:space="preserve">NP</t>
  </si>
  <si>
    <t xml:space="preserve">RPA3</t>
  </si>
  <si>
    <t xml:space="preserve">No footage</t>
  </si>
  <si>
    <t xml:space="preserve">CBT2</t>
  </si>
  <si>
    <t xml:space="preserve">Go response triggered but NoGo?-check</t>
  </si>
  <si>
    <t xml:space="preserve">Check- frustrated</t>
  </si>
  <si>
    <t xml:space="preserve">RPA2</t>
  </si>
  <si>
    <t xml:space="preserve">Disrupted due to wind</t>
  </si>
  <si>
    <t xml:space="preserve">No HRM</t>
  </si>
  <si>
    <t xml:space="preserve">Is it a Go for Neg</t>
  </si>
  <si>
    <t xml:space="preserve">Late on on start time- then manual control</t>
  </si>
  <si>
    <t xml:space="preserve">Check NoGo to NP </t>
  </si>
  <si>
    <t xml:space="preserve">RPA1</t>
  </si>
  <si>
    <t xml:space="preserve">Check HRM</t>
  </si>
  <si>
    <t xml:space="preserve">HRM restarted</t>
  </si>
  <si>
    <t xml:space="preserve">Check time- just timed out on Nogo to N bucket</t>
  </si>
  <si>
    <t xml:space="preserve">RPH1</t>
  </si>
  <si>
    <t xml:space="preserve">No engagement with the device- trial aborted</t>
  </si>
  <si>
    <t xml:space="preserve">HRM sensor problems</t>
  </si>
  <si>
    <t xml:space="preserve">Up to trial 15, then restarted due to computer being turned off- two files</t>
  </si>
  <si>
    <t xml:space="preserve">Stop to fix food tube</t>
  </si>
  <si>
    <t xml:space="preserve">Check IRT and gopro stopped working after trial 15-16</t>
  </si>
  <si>
    <t xml:space="preserve">Check if RPH - should be RPA2- check latencies</t>
  </si>
  <si>
    <t xml:space="preserve">RPE</t>
  </si>
  <si>
    <t xml:space="preserve">66 trials-Gopro overheated.</t>
  </si>
  <si>
    <t xml:space="preserve">RPH2</t>
  </si>
  <si>
    <t xml:space="preserve">Gopro overheated</t>
  </si>
  <si>
    <t xml:space="preserve">51 trials</t>
  </si>
  <si>
    <t xml:space="preserve">CBT3</t>
  </si>
  <si>
    <t xml:space="preserve">Check video- horse checked Neg bucket at 30s?</t>
  </si>
  <si>
    <t xml:space="preserve">33 trials</t>
  </si>
  <si>
    <t xml:space="preserve">CBT4</t>
  </si>
  <si>
    <t xml:space="preserve">Gopro overheated from this trial on</t>
  </si>
  <si>
    <t xml:space="preserve">Bucket in wrong spot.</t>
  </si>
  <si>
    <t xml:space="preserve">Got a fright</t>
  </si>
  <si>
    <t xml:space="preserve">Trial was NP was meant to be NN</t>
  </si>
  <si>
    <t xml:space="preserve">CBT?</t>
  </si>
  <si>
    <t xml:space="preserve">Go button late</t>
  </si>
  <si>
    <t xml:space="preserve">RPER</t>
  </si>
  <si>
    <t xml:space="preserve">Shy trial paused</t>
  </si>
  <si>
    <t xml:space="preserve">NN</t>
  </si>
  <si>
    <t xml:space="preserve">Trial not timed</t>
  </si>
  <si>
    <t xml:space="preserve">11 sec 31 millisec go</t>
  </si>
  <si>
    <t xml:space="preserve">George</t>
  </si>
  <si>
    <t xml:space="preserve">Myrtle</t>
  </si>
  <si>
    <t xml:space="preserve">Yoshi</t>
  </si>
  <si>
    <t xml:space="preserve">Got 11 pos buckets and last nogo was a go</t>
  </si>
  <si>
    <t xml:space="preserve">Dusty</t>
  </si>
  <si>
    <t xml:space="preserve">16/17</t>
  </si>
  <si>
    <t xml:space="preserve">Horse shied</t>
  </si>
  <si>
    <t xml:space="preserve">Gio</t>
  </si>
  <si>
    <t xml:space="preserve">NoGo response when should be Go response- no food in bucket</t>
  </si>
  <si>
    <t xml:space="preserve">Right corner Sony not turned on until trial 5</t>
  </si>
  <si>
    <t xml:space="preserve">Olive</t>
  </si>
  <si>
    <t xml:space="preserve">Escaped arena</t>
  </si>
  <si>
    <t xml:space="preserve">Clover</t>
  </si>
  <si>
    <t xml:space="preserve">Interrupted restart the program</t>
  </si>
  <si>
    <t xml:space="preserve">Ran CBR1 but should be CBF3- so manually check all timings</t>
  </si>
  <si>
    <t xml:space="preserve">Nix</t>
  </si>
  <si>
    <t xml:space="preserve">Check if NoGo</t>
  </si>
  <si>
    <t xml:space="preserve">Two buckets- visited P bucket, Go resp to Neg bucket</t>
  </si>
  <si>
    <t xml:space="preserve">Shy at birds</t>
  </si>
  <si>
    <t xml:space="preserve">Probs with roboto, two files</t>
  </si>
  <si>
    <t xml:space="preserve">Go response- wrong buckets</t>
  </si>
  <si>
    <t xml:space="preserve">No button press- resp is criterion</t>
  </si>
  <si>
    <t xml:space="preserve">Smudge</t>
  </si>
  <si>
    <t xml:space="preserve">After nogo to pos was led to bucket to eat</t>
  </si>
  <si>
    <t xml:space="preserve">Confounded by shy</t>
  </si>
  <si>
    <t xml:space="preserve">Shy after coming back after trial 1</t>
  </si>
  <si>
    <t xml:space="preserve">20 s</t>
  </si>
  <si>
    <t xml:space="preserve">Criterion</t>
  </si>
  <si>
    <t xml:space="preserve">Restart at trial 19-check no of files</t>
  </si>
  <si>
    <t xml:space="preserve">Horse released late two buckets left. </t>
  </si>
  <si>
    <t xml:space="preserve">Go/NoGo around 30s- got to eat the food</t>
  </si>
  <si>
    <t xml:space="preserve">6/7</t>
  </si>
  <si>
    <t xml:space="preserve">Swap from Neg to Pos check vid</t>
  </si>
  <si>
    <t xml:space="preserve">CBR3</t>
  </si>
  <si>
    <t xml:space="preserve">Go response triggered but Not registered</t>
  </si>
  <si>
    <t xml:space="preserve">Go button pressed too early</t>
  </si>
  <si>
    <t xml:space="preserve">Two buckets</t>
  </si>
  <si>
    <t xml:space="preserve">NoGo response when should be Go response- no button press</t>
  </si>
  <si>
    <t xml:space="preserve">Jelly</t>
  </si>
  <si>
    <t xml:space="preserve">NoGo response but ate from bucket</t>
  </si>
  <si>
    <t xml:space="preserve">Restart test CBT1 because wrong trial type ignore first POS bucket in CBT1 and use 1st response in previous session</t>
  </si>
  <si>
    <t xml:space="preserve">Was neg. but bucket was positive-check vid- Go response</t>
  </si>
  <si>
    <t xml:space="preserve">As per the sheet</t>
  </si>
  <si>
    <t xml:space="preserve">Freya</t>
  </si>
  <si>
    <t xml:space="preserve">Windy/rain storm, did not approach first Pos bucket</t>
  </si>
  <si>
    <t xml:space="preserve">No interest in food, gut sounds normal</t>
  </si>
  <si>
    <t xml:space="preserve">Two files, artificial criterion reached in ist 10 trials? </t>
  </si>
  <si>
    <t xml:space="preserve">Wrong test on computer but delivered correct CBT2 on paper- check all vids</t>
  </si>
  <si>
    <t xml:space="preserve">Go response on Go but not captured </t>
  </si>
  <si>
    <t xml:space="preserve">Pos bucket on wrong side- late Go response due to wrong bucket side</t>
  </si>
  <si>
    <t xml:space="preserve">No Sony vid</t>
  </si>
  <si>
    <t xml:space="preserve">Two files due to criterion count</t>
  </si>
  <si>
    <t xml:space="preserve">Just timed out on Neg bucket for NoGo- check vid</t>
  </si>
  <si>
    <t xml:space="preserve">Feed delivery-very large portion</t>
  </si>
  <si>
    <t xml:space="preserve">Check whole test- was a mess</t>
  </si>
  <si>
    <t xml:space="preserve">Sheep</t>
  </si>
  <si>
    <t xml:space="preserve">Rain</t>
  </si>
  <si>
    <t xml:space="preserve">Bucket on the wrong side</t>
  </si>
  <si>
    <t xml:space="preserve">Two buckets- check video</t>
  </si>
  <si>
    <t xml:space="preserve">Did not touch. Bucket</t>
  </si>
  <si>
    <t xml:space="preserve">Feed in M bucket</t>
  </si>
  <si>
    <t xml:space="preserve">Nogo to bucket but did approach after 30s</t>
  </si>
  <si>
    <t xml:space="preserve">RPR</t>
  </si>
  <si>
    <t xml:space="preserve">Manual restart- problem with touch sensor</t>
  </si>
  <si>
    <t xml:space="preserve">HR issues</t>
  </si>
  <si>
    <t xml:space="preserve">RPH3</t>
  </si>
  <si>
    <t xml:space="preserve">Problems w Green button going too early 1st few trials- lots of time outs</t>
  </si>
  <si>
    <t xml:space="preserve">No button press- Go resp is criterion- check vids </t>
  </si>
  <si>
    <t xml:space="preserve">2 Log files, computer stopped after trial 3 Median- Restart trial 4?</t>
  </si>
  <si>
    <t xml:space="preserve">Go response but not captured </t>
  </si>
  <si>
    <t xml:space="preserve">late button press for GO due to broken robot</t>
  </si>
  <si>
    <t xml:space="preserve">Broke robot two files</t>
  </si>
  <si>
    <t xml:space="preserve">Video and log don't match but NoGO is criterion</t>
  </si>
  <si>
    <t xml:space="preserve">OK on log-Nogo</t>
  </si>
  <si>
    <t xml:space="preserve">Button pressed late?</t>
  </si>
  <si>
    <t xml:space="preserve">Extra neg- don't count last N trial</t>
  </si>
  <si>
    <t xml:space="preserve">Says Pos in log but is Neg </t>
  </si>
  <si>
    <t xml:space="preserve">Says NN in log but is Pos</t>
  </si>
  <si>
    <t xml:space="preserve">Check log</t>
  </si>
  <si>
    <t xml:space="preserve">Manual neg- check vid</t>
  </si>
  <si>
    <t xml:space="preserve">WRONG CBT test used on robot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</si>
</sst>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yy"/>
    <numFmt numFmtId="166" formatCode="d\-mmm"/>
    <numFmt numFmtId="167" formatCode="@"/>
  </numFmts>
  <fonts count="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C9BA4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C9BA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13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37" activeCellId="0" sqref="D137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1" width="15.31"/>
    <col collapsed="false" customWidth="true" hidden="false" outlineLevel="0" max="2" min="2" style="2" width="15.72"/>
    <col collapsed="false" customWidth="true" hidden="false" outlineLevel="0" max="3" min="3" style="2" width="15.69"/>
    <col collapsed="false" customWidth="true" hidden="false" outlineLevel="0" max="4" min="4" style="2" width="13.02"/>
    <col collapsed="false" customWidth="true" hidden="false" outlineLevel="0" max="5" min="5" style="2" width="12.12"/>
    <col collapsed="false" customWidth="true" hidden="false" outlineLevel="0" max="6" min="6" style="2" width="9.7"/>
    <col collapsed="false" customWidth="true" hidden="false" outlineLevel="0" max="7" min="7" style="2" width="78.03"/>
    <col collapsed="false" customWidth="true" hidden="false" outlineLevel="0" max="8" min="8" style="2" width="61.44"/>
    <col collapsed="false" customWidth="false" hidden="false" outlineLevel="0" max="16384" min="9" style="2" width="10.52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5"/>
    </row>
    <row r="2" customFormat="false" ht="15.75" hidden="false" customHeight="false" outlineLevel="0" collapsed="false">
      <c r="A2" s="6"/>
      <c r="B2" s="7" t="s">
        <v>6</v>
      </c>
      <c r="C2" s="5"/>
      <c r="D2" s="5"/>
      <c r="E2" s="5"/>
      <c r="F2" s="5"/>
      <c r="G2" s="5"/>
      <c r="H2" s="5"/>
    </row>
    <row r="3" customFormat="false" ht="15.75" hidden="false" customHeight="false" outlineLevel="0" collapsed="false">
      <c r="A3" s="6" t="s">
        <v>7</v>
      </c>
      <c r="B3" s="2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</row>
    <row r="4" customFormat="false" ht="15.75" hidden="false" customHeight="false" outlineLevel="0" collapsed="false">
      <c r="A4" s="1" t="n">
        <v>45571</v>
      </c>
      <c r="B4" s="2" t="s">
        <v>15</v>
      </c>
      <c r="C4" s="2" t="str">
        <f aca="false">RIGHT(B4,1)</f>
        <v>1</v>
      </c>
      <c r="D4" s="2" t="s">
        <v>16</v>
      </c>
      <c r="E4" s="2" t="n">
        <v>1</v>
      </c>
      <c r="F4" s="2" t="s">
        <v>17</v>
      </c>
      <c r="G4" s="2" t="s">
        <v>18</v>
      </c>
    </row>
    <row r="5" customFormat="false" ht="15.75" hidden="false" customHeight="false" outlineLevel="0" collapsed="false">
      <c r="C5" s="2" t="str">
        <f aca="false">IF(B5="",RIGHT(B4,1))</f>
        <v>1</v>
      </c>
      <c r="D5" s="2" t="str">
        <f aca="false">IF(ISBLANK(B5),D4)</f>
        <v>Teddy</v>
      </c>
      <c r="E5" s="2" t="n">
        <v>7</v>
      </c>
      <c r="F5" s="2" t="s">
        <v>17</v>
      </c>
      <c r="G5" s="2" t="s">
        <v>19</v>
      </c>
    </row>
    <row r="6" customFormat="false" ht="15.75" hidden="true" customHeight="false" outlineLevel="0" collapsed="false">
      <c r="B6" s="2" t="s">
        <v>15</v>
      </c>
      <c r="C6" s="2" t="str">
        <f aca="false">IF(B6="",B6,RIGHT(B6,1))</f>
        <v>1</v>
      </c>
      <c r="D6" s="2" t="s">
        <v>20</v>
      </c>
      <c r="E6" s="2" t="n">
        <v>3</v>
      </c>
      <c r="F6" s="2" t="s">
        <v>17</v>
      </c>
      <c r="G6" s="2" t="s">
        <v>21</v>
      </c>
    </row>
    <row r="7" customFormat="false" ht="15.75" hidden="true" customHeight="false" outlineLevel="0" collapsed="false">
      <c r="C7" s="2" t="str">
        <f aca="false">IF(B7="",RIGHT(B$6,1),B7)</f>
        <v>1</v>
      </c>
      <c r="D7" s="2" t="str">
        <f aca="false">IF(ISBLANK(B7),D6)</f>
        <v>Dodge</v>
      </c>
      <c r="E7" s="2" t="n">
        <v>8</v>
      </c>
      <c r="F7" s="2" t="s">
        <v>17</v>
      </c>
      <c r="G7" s="2" t="s">
        <v>22</v>
      </c>
    </row>
    <row r="8" customFormat="false" ht="15.75" hidden="true" customHeight="false" outlineLevel="0" collapsed="false">
      <c r="C8" s="2" t="str">
        <f aca="false">IF(B8="",RIGHT(B$6,1),B8)</f>
        <v>1</v>
      </c>
      <c r="D8" s="2" t="str">
        <f aca="false">IF(ISBLANK(B8),D7)</f>
        <v>Dodge</v>
      </c>
      <c r="E8" s="8" t="s">
        <v>23</v>
      </c>
      <c r="F8" s="8"/>
      <c r="G8" s="2" t="s">
        <v>22</v>
      </c>
    </row>
    <row r="9" customFormat="false" ht="15.75" hidden="true" customHeight="false" outlineLevel="0" collapsed="false">
      <c r="B9" s="2" t="s">
        <v>15</v>
      </c>
      <c r="C9" s="2" t="str">
        <f aca="false">IF(B9="",RIGHT(B$9,1),RIGHT(B9,1))</f>
        <v>1</v>
      </c>
      <c r="D9" s="2" t="s">
        <v>24</v>
      </c>
      <c r="E9" s="8"/>
      <c r="F9" s="8"/>
      <c r="G9" s="2" t="s">
        <v>25</v>
      </c>
    </row>
    <row r="10" customFormat="false" ht="15.75" hidden="true" customHeight="false" outlineLevel="0" collapsed="false">
      <c r="C10" s="2" t="str">
        <f aca="false">IF(B10="",RIGHT(B$9,1),RIGHT(B10,1))</f>
        <v>1</v>
      </c>
      <c r="D10" s="2" t="str">
        <f aca="false">IF(ISBLANK(B10),D9)</f>
        <v>Filly</v>
      </c>
      <c r="E10" s="8"/>
      <c r="F10" s="8"/>
      <c r="G10" s="2" t="s">
        <v>26</v>
      </c>
    </row>
    <row r="11" customFormat="false" ht="15.75" hidden="true" customHeight="false" outlineLevel="0" collapsed="false">
      <c r="C11" s="2" t="str">
        <f aca="false">IF(B11="",RIGHT(B$9,1),RIGHT(B11,1))</f>
        <v>1</v>
      </c>
      <c r="D11" s="2" t="str">
        <f aca="false">IF(ISBLANK(B11),D10)</f>
        <v>Filly</v>
      </c>
      <c r="E11" s="8"/>
      <c r="F11" s="8"/>
      <c r="G11" s="2" t="s">
        <v>27</v>
      </c>
    </row>
    <row r="12" customFormat="false" ht="15.75" hidden="true" customHeight="false" outlineLevel="0" collapsed="false">
      <c r="C12" s="2" t="str">
        <f aca="false">IF(B12="",RIGHT(B$9,1),RIGHT(B12,1))</f>
        <v>1</v>
      </c>
      <c r="D12" s="2" t="str">
        <f aca="false">IF(ISBLANK(B12),D11)</f>
        <v>Filly</v>
      </c>
      <c r="E12" s="8"/>
      <c r="F12" s="8"/>
      <c r="G12" s="2" t="s">
        <v>28</v>
      </c>
    </row>
    <row r="13" customFormat="false" ht="15.75" hidden="true" customHeight="false" outlineLevel="0" collapsed="false">
      <c r="C13" s="2" t="str">
        <f aca="false">IF(B13="",RIGHT(B$9,1),RIGHT(B13,1))</f>
        <v>1</v>
      </c>
      <c r="D13" s="2" t="str">
        <f aca="false">IF(ISBLANK(B13),D12)</f>
        <v>Filly</v>
      </c>
      <c r="E13" s="8"/>
      <c r="F13" s="8"/>
      <c r="G13" s="2" t="s">
        <v>29</v>
      </c>
    </row>
    <row r="14" customFormat="false" ht="15.75" hidden="true" customHeight="false" outlineLevel="0" collapsed="false">
      <c r="C14" s="2" t="str">
        <f aca="false">IF(B14="",RIGHT(B$9,1),RIGHT(B14,1))</f>
        <v>1</v>
      </c>
      <c r="D14" s="2" t="str">
        <f aca="false">IF(ISBLANK(B14),D13)</f>
        <v>Filly</v>
      </c>
      <c r="E14" s="8"/>
      <c r="F14" s="8"/>
      <c r="G14" s="2" t="s">
        <v>30</v>
      </c>
    </row>
    <row r="15" customFormat="false" ht="15.75" hidden="true" customHeight="false" outlineLevel="0" collapsed="false">
      <c r="C15" s="2" t="str">
        <f aca="false">IF(B15="",RIGHT(B$9,1),RIGHT(B15,1))</f>
        <v>1</v>
      </c>
      <c r="D15" s="2" t="str">
        <f aca="false">IF(ISBLANK(B15),D14)</f>
        <v>Filly</v>
      </c>
      <c r="E15" s="2" t="n">
        <v>1</v>
      </c>
      <c r="F15" s="8"/>
      <c r="G15" s="2" t="s">
        <v>22</v>
      </c>
    </row>
    <row r="16" customFormat="false" ht="15.75" hidden="true" customHeight="false" outlineLevel="0" collapsed="false">
      <c r="B16" s="2" t="s">
        <v>15</v>
      </c>
      <c r="C16" s="2" t="str">
        <f aca="false">IF(B16="",RIGHT(B$9,1),RIGHT(B16,1))</f>
        <v>1</v>
      </c>
      <c r="D16" s="2" t="s">
        <v>31</v>
      </c>
      <c r="E16" s="2" t="n">
        <v>3</v>
      </c>
      <c r="F16" s="2" t="s">
        <v>17</v>
      </c>
      <c r="G16" s="2" t="s">
        <v>22</v>
      </c>
    </row>
    <row r="17" customFormat="false" ht="15.75" hidden="true" customHeight="false" outlineLevel="0" collapsed="false">
      <c r="C17" s="2" t="str">
        <f aca="false">IF(B17="",RIGHT(B$9,1),RIGHT(B17,1))</f>
        <v>1</v>
      </c>
      <c r="D17" s="2" t="str">
        <f aca="false">IF(ISBLANK(B17),D16)</f>
        <v>Dougie</v>
      </c>
      <c r="E17" s="2" t="n">
        <v>1</v>
      </c>
      <c r="F17" s="2" t="s">
        <v>17</v>
      </c>
      <c r="G17" s="2" t="s">
        <v>22</v>
      </c>
    </row>
    <row r="18" customFormat="false" ht="15.75" hidden="true" customHeight="false" outlineLevel="0" collapsed="false">
      <c r="B18" s="2" t="s">
        <v>15</v>
      </c>
      <c r="C18" s="2" t="str">
        <f aca="false">IF(B18="",RIGHT(B$9,1),RIGHT(B18,1))</f>
        <v>1</v>
      </c>
      <c r="D18" s="2" t="s">
        <v>32</v>
      </c>
      <c r="E18" s="2" t="n">
        <v>10</v>
      </c>
      <c r="F18" s="2" t="s">
        <v>17</v>
      </c>
      <c r="G18" s="2" t="s">
        <v>21</v>
      </c>
    </row>
    <row r="19" customFormat="false" ht="15.75" hidden="true" customHeight="false" outlineLevel="0" collapsed="false">
      <c r="C19" s="2" t="str">
        <f aca="false">IF(B19="",RIGHT(B$9,1),RIGHT(B19,1))</f>
        <v>1</v>
      </c>
      <c r="D19" s="2" t="str">
        <f aca="false">IF(ISBLANK(B19),D18)</f>
        <v>Bonnie</v>
      </c>
      <c r="E19" s="2" t="n">
        <v>3</v>
      </c>
      <c r="F19" s="2" t="s">
        <v>17</v>
      </c>
      <c r="G19" s="2" t="s">
        <v>33</v>
      </c>
    </row>
    <row r="20" customFormat="false" ht="15.75" hidden="true" customHeight="false" outlineLevel="0" collapsed="false">
      <c r="B20" s="2" t="s">
        <v>15</v>
      </c>
      <c r="C20" s="2" t="str">
        <f aca="false">IF(B20="",RIGHT(B$9,1),RIGHT(B20,1))</f>
        <v>1</v>
      </c>
      <c r="D20" s="2" t="s">
        <v>34</v>
      </c>
      <c r="E20" s="2" t="n">
        <v>1</v>
      </c>
      <c r="F20" s="2" t="s">
        <v>17</v>
      </c>
      <c r="G20" s="2" t="s">
        <v>22</v>
      </c>
    </row>
    <row r="21" customFormat="false" ht="15.75" hidden="true" customHeight="false" outlineLevel="0" collapsed="false">
      <c r="A21" s="1" t="n">
        <v>45572</v>
      </c>
      <c r="B21" s="2" t="s">
        <v>35</v>
      </c>
      <c r="C21" s="2" t="str">
        <f aca="false">IF(B21="",RIGHT(B$9,1),RIGHT(B21,1))</f>
        <v>2</v>
      </c>
      <c r="D21" s="2" t="s">
        <v>36</v>
      </c>
      <c r="E21" s="2" t="n">
        <v>2</v>
      </c>
      <c r="F21" s="2" t="s">
        <v>17</v>
      </c>
      <c r="G21" s="2" t="s">
        <v>22</v>
      </c>
    </row>
    <row r="22" customFormat="false" ht="15.75" hidden="true" customHeight="false" outlineLevel="0" collapsed="false">
      <c r="C22" s="2" t="str">
        <f aca="false">IF(B22="",RIGHT(B$9,1),RIGHT(B22,1))</f>
        <v>1</v>
      </c>
      <c r="D22" s="2" t="str">
        <f aca="false">IF(ISBLANK(B22),D21)</f>
        <v>Atom</v>
      </c>
      <c r="E22" s="2" t="n">
        <v>6</v>
      </c>
      <c r="F22" s="2" t="s">
        <v>17</v>
      </c>
      <c r="G22" s="2" t="s">
        <v>22</v>
      </c>
    </row>
    <row r="23" customFormat="false" ht="15.75" hidden="true" customHeight="false" outlineLevel="0" collapsed="false">
      <c r="C23" s="2" t="str">
        <f aca="false">IF(B23="",RIGHT(B$9,1),RIGHT(B23,1))</f>
        <v>1</v>
      </c>
      <c r="D23" s="2" t="str">
        <f aca="false">IF(ISBLANK(B23),D22)</f>
        <v>Atom</v>
      </c>
      <c r="E23" s="2" t="n">
        <v>11</v>
      </c>
      <c r="F23" s="2" t="s">
        <v>37</v>
      </c>
      <c r="G23" s="2" t="s">
        <v>38</v>
      </c>
    </row>
    <row r="24" customFormat="false" ht="15.75" hidden="true" customHeight="false" outlineLevel="0" collapsed="false">
      <c r="C24" s="2" t="str">
        <f aca="false">IF(B24="",RIGHT(B$9,1),RIGHT(B24,1))</f>
        <v>1</v>
      </c>
      <c r="D24" s="2" t="str">
        <f aca="false">IF(ISBLANK(B24),D23)</f>
        <v>Atom</v>
      </c>
      <c r="E24" s="2" t="n">
        <v>1</v>
      </c>
      <c r="F24" s="2" t="s">
        <v>17</v>
      </c>
      <c r="G24" s="2" t="s">
        <v>39</v>
      </c>
    </row>
    <row r="25" customFormat="false" ht="15.75" hidden="true" customHeight="false" outlineLevel="0" collapsed="false">
      <c r="C25" s="2" t="str">
        <f aca="false">IF(B25="",RIGHT(B$9,1),RIGHT(B25,1))</f>
        <v>1</v>
      </c>
      <c r="D25" s="2" t="s">
        <v>40</v>
      </c>
      <c r="E25" s="2" t="n">
        <v>5</v>
      </c>
      <c r="F25" s="2" t="s">
        <v>17</v>
      </c>
      <c r="G25" s="2" t="s">
        <v>22</v>
      </c>
    </row>
    <row r="26" customFormat="false" ht="15.75" hidden="false" customHeight="false" outlineLevel="0" collapsed="false">
      <c r="C26" s="2" t="str">
        <f aca="false">IF(B26="",RIGHT(B$9,1),RIGHT(B26,1))</f>
        <v>1</v>
      </c>
      <c r="D26" s="2" t="s">
        <v>16</v>
      </c>
      <c r="E26" s="2" t="n">
        <v>19</v>
      </c>
      <c r="F26" s="2" t="s">
        <v>37</v>
      </c>
      <c r="G26" s="2" t="s">
        <v>41</v>
      </c>
    </row>
    <row r="27" customFormat="false" ht="15.75" hidden="false" customHeight="false" outlineLevel="0" collapsed="false">
      <c r="C27" s="2" t="str">
        <f aca="false">IF(B27="",RIGHT(B$9,1),RIGHT(B27,1))</f>
        <v>1</v>
      </c>
      <c r="D27" s="2" t="str">
        <f aca="false">IF(ISBLANK(B27),D26)</f>
        <v>Teddy</v>
      </c>
      <c r="E27" s="2" t="n">
        <v>1</v>
      </c>
      <c r="F27" s="2" t="s">
        <v>17</v>
      </c>
      <c r="G27" s="2" t="s">
        <v>22</v>
      </c>
    </row>
    <row r="28" customFormat="false" ht="15.75" hidden="true" customHeight="false" outlineLevel="0" collapsed="false">
      <c r="C28" s="2" t="str">
        <f aca="false">IF(B28="",RIGHT(B$9,1),RIGHT(B28,1))</f>
        <v>1</v>
      </c>
      <c r="D28" s="2" t="s">
        <v>20</v>
      </c>
      <c r="E28" s="2" t="n">
        <v>8</v>
      </c>
      <c r="F28" s="2" t="s">
        <v>17</v>
      </c>
      <c r="G28" s="2" t="s">
        <v>42</v>
      </c>
    </row>
    <row r="29" customFormat="false" ht="15.75" hidden="true" customHeight="false" outlineLevel="0" collapsed="false">
      <c r="C29" s="2" t="str">
        <f aca="false">IF(B29="",RIGHT(B$9,1),RIGHT(B29,1))</f>
        <v>1</v>
      </c>
      <c r="D29" s="2" t="s">
        <v>32</v>
      </c>
      <c r="E29" s="2" t="n">
        <v>5</v>
      </c>
      <c r="F29" s="2" t="s">
        <v>17</v>
      </c>
      <c r="G29" s="2" t="s">
        <v>43</v>
      </c>
    </row>
    <row r="30" customFormat="false" ht="15.75" hidden="true" customHeight="false" outlineLevel="0" collapsed="false">
      <c r="C30" s="2" t="str">
        <f aca="false">IF(B30="",RIGHT(B$9,1),RIGHT(B30,1))</f>
        <v>1</v>
      </c>
      <c r="D30" s="2" t="str">
        <f aca="false">IF(ISBLANK(B30),D29)</f>
        <v>Bonnie</v>
      </c>
      <c r="E30" s="2" t="n">
        <v>14</v>
      </c>
      <c r="F30" s="2" t="s">
        <v>37</v>
      </c>
      <c r="G30" s="2" t="s">
        <v>44</v>
      </c>
    </row>
    <row r="31" customFormat="false" ht="15.75" hidden="true" customHeight="false" outlineLevel="0" collapsed="false">
      <c r="C31" s="2" t="str">
        <f aca="false">IF(B31="",RIGHT(B$9,1),RIGHT(B31,1))</f>
        <v>1</v>
      </c>
      <c r="D31" s="2" t="s">
        <v>45</v>
      </c>
      <c r="E31" s="2" t="n">
        <v>4</v>
      </c>
      <c r="F31" s="2" t="s">
        <v>17</v>
      </c>
      <c r="G31" s="2" t="s">
        <v>46</v>
      </c>
    </row>
    <row r="32" customFormat="false" ht="15.75" hidden="true" customHeight="false" outlineLevel="0" collapsed="false">
      <c r="C32" s="2" t="str">
        <f aca="false">IF(B32="",RIGHT(B$9,1),RIGHT(B32,1))</f>
        <v>1</v>
      </c>
      <c r="D32" s="2" t="str">
        <f aca="false">IF(ISBLANK(B32),D31)</f>
        <v>Molly</v>
      </c>
      <c r="E32" s="2" t="n">
        <v>5</v>
      </c>
      <c r="F32" s="2" t="s">
        <v>17</v>
      </c>
      <c r="G32" s="2" t="s">
        <v>47</v>
      </c>
    </row>
    <row r="33" customFormat="false" ht="15.75" hidden="true" customHeight="false" outlineLevel="0" collapsed="false">
      <c r="C33" s="2" t="str">
        <f aca="false">IF(B33="",RIGHT(B$9,1),RIGHT(B33,1))</f>
        <v>1</v>
      </c>
      <c r="D33" s="2" t="str">
        <f aca="false">IF(ISBLANK(B33),D32)</f>
        <v>Molly</v>
      </c>
      <c r="E33" s="2" t="n">
        <v>8</v>
      </c>
      <c r="F33" s="2" t="s">
        <v>17</v>
      </c>
      <c r="G33" s="2" t="s">
        <v>48</v>
      </c>
    </row>
    <row r="34" customFormat="false" ht="15.75" hidden="true" customHeight="false" outlineLevel="0" collapsed="false">
      <c r="C34" s="2" t="str">
        <f aca="false">IF(B34="",RIGHT(B$9,1),RIGHT(B34,1))</f>
        <v>1</v>
      </c>
      <c r="D34" s="2" t="str">
        <f aca="false">IF(ISBLANK(B34),D33)</f>
        <v>Molly</v>
      </c>
      <c r="E34" s="2" t="n">
        <v>17</v>
      </c>
      <c r="F34" s="2" t="s">
        <v>37</v>
      </c>
      <c r="G34" s="2" t="s">
        <v>49</v>
      </c>
    </row>
    <row r="35" customFormat="false" ht="15.75" hidden="true" customHeight="false" outlineLevel="0" collapsed="false">
      <c r="A35" s="1" t="n">
        <v>45573</v>
      </c>
      <c r="B35" s="2" t="s">
        <v>50</v>
      </c>
      <c r="C35" s="2" t="str">
        <f aca="false">IF(B35="",RIGHT(B$9,1),RIGHT(B35,1))</f>
        <v>1</v>
      </c>
      <c r="D35" s="2" t="s">
        <v>36</v>
      </c>
      <c r="E35" s="2" t="n">
        <v>11</v>
      </c>
      <c r="F35" s="2" t="s">
        <v>17</v>
      </c>
      <c r="G35" s="2" t="s">
        <v>22</v>
      </c>
    </row>
    <row r="36" customFormat="false" ht="15.75" hidden="true" customHeight="false" outlineLevel="0" collapsed="false">
      <c r="D36" s="2" t="str">
        <f aca="false">IF(ISBLANK(B36),D35)</f>
        <v>Atom</v>
      </c>
      <c r="E36" s="2" t="n">
        <v>17</v>
      </c>
      <c r="F36" s="2" t="s">
        <v>17</v>
      </c>
      <c r="G36" s="2" t="s">
        <v>22</v>
      </c>
    </row>
    <row r="37" customFormat="false" ht="15.75" hidden="true" customHeight="false" outlineLevel="0" collapsed="false">
      <c r="B37" s="2" t="s">
        <v>51</v>
      </c>
      <c r="D37" s="2" t="s">
        <v>40</v>
      </c>
      <c r="E37" s="2" t="n">
        <v>1</v>
      </c>
      <c r="F37" s="2" t="s">
        <v>17</v>
      </c>
      <c r="G37" s="2" t="s">
        <v>22</v>
      </c>
    </row>
    <row r="38" customFormat="false" ht="15.75" hidden="true" customHeight="false" outlineLevel="0" collapsed="false">
      <c r="D38" s="2" t="str">
        <f aca="false">IF(ISBLANK(B38),D37)</f>
        <v>Ash</v>
      </c>
      <c r="E38" s="2" t="n">
        <v>8</v>
      </c>
      <c r="F38" s="2" t="s">
        <v>17</v>
      </c>
      <c r="G38" s="2" t="s">
        <v>52</v>
      </c>
    </row>
    <row r="39" customFormat="false" ht="15.75" hidden="true" customHeight="false" outlineLevel="0" collapsed="false">
      <c r="D39" s="2" t="str">
        <f aca="false">IF(ISBLANK(B39),D38)</f>
        <v>Ash</v>
      </c>
      <c r="E39" s="2" t="n">
        <v>15</v>
      </c>
      <c r="F39" s="2" t="s">
        <v>37</v>
      </c>
      <c r="G39" s="2" t="s">
        <v>52</v>
      </c>
    </row>
    <row r="40" customFormat="false" ht="15.75" hidden="true" customHeight="false" outlineLevel="0" collapsed="false">
      <c r="D40" s="2" t="s">
        <v>53</v>
      </c>
      <c r="E40" s="2" t="n">
        <v>6</v>
      </c>
      <c r="F40" s="2" t="s">
        <v>17</v>
      </c>
      <c r="G40" s="2" t="s">
        <v>22</v>
      </c>
    </row>
    <row r="41" customFormat="false" ht="15.75" hidden="true" customHeight="false" outlineLevel="0" collapsed="false">
      <c r="E41" s="2" t="n">
        <v>9</v>
      </c>
      <c r="F41" s="2" t="s">
        <v>17</v>
      </c>
      <c r="G41" s="2" t="s">
        <v>52</v>
      </c>
    </row>
    <row r="42" customFormat="false" ht="15.75" hidden="true" customHeight="false" outlineLevel="0" collapsed="false">
      <c r="E42" s="2" t="n">
        <v>10</v>
      </c>
      <c r="F42" s="2" t="s">
        <v>17</v>
      </c>
      <c r="G42" s="2" t="s">
        <v>52</v>
      </c>
    </row>
    <row r="43" customFormat="false" ht="15.75" hidden="false" customHeight="false" outlineLevel="0" collapsed="false">
      <c r="D43" s="2" t="s">
        <v>16</v>
      </c>
      <c r="E43" s="2" t="n">
        <v>4</v>
      </c>
      <c r="F43" s="2" t="s">
        <v>17</v>
      </c>
      <c r="G43" s="2" t="s">
        <v>22</v>
      </c>
    </row>
    <row r="44" customFormat="false" ht="15.75" hidden="true" customHeight="false" outlineLevel="0" collapsed="false">
      <c r="E44" s="2" t="n">
        <v>8</v>
      </c>
      <c r="F44" s="2" t="s">
        <v>17</v>
      </c>
      <c r="G44" s="2" t="s">
        <v>22</v>
      </c>
    </row>
    <row r="45" customFormat="false" ht="15.75" hidden="true" customHeight="false" outlineLevel="0" collapsed="false">
      <c r="E45" s="2" t="n">
        <v>9</v>
      </c>
      <c r="F45" s="2" t="s">
        <v>17</v>
      </c>
      <c r="G45" s="2" t="s">
        <v>22</v>
      </c>
    </row>
    <row r="46" customFormat="false" ht="15.75" hidden="true" customHeight="false" outlineLevel="0" collapsed="false">
      <c r="D46" s="2" t="s">
        <v>20</v>
      </c>
      <c r="E46" s="2" t="n">
        <v>4</v>
      </c>
      <c r="F46" s="2" t="s">
        <v>17</v>
      </c>
      <c r="G46" s="2" t="s">
        <v>54</v>
      </c>
    </row>
    <row r="47" customFormat="false" ht="15.75" hidden="true" customHeight="false" outlineLevel="0" collapsed="false">
      <c r="E47" s="2" t="n">
        <v>15</v>
      </c>
      <c r="F47" s="2" t="s">
        <v>37</v>
      </c>
      <c r="G47" s="2" t="s">
        <v>55</v>
      </c>
    </row>
    <row r="48" customFormat="false" ht="15.75" hidden="true" customHeight="false" outlineLevel="0" collapsed="false">
      <c r="B48" s="2" t="s">
        <v>50</v>
      </c>
      <c r="D48" s="2" t="s">
        <v>24</v>
      </c>
      <c r="E48" s="2" t="n">
        <v>9</v>
      </c>
      <c r="G48" s="2" t="s">
        <v>22</v>
      </c>
    </row>
    <row r="49" customFormat="false" ht="15.75" hidden="true" customHeight="false" outlineLevel="0" collapsed="false">
      <c r="E49" s="2" t="n">
        <v>11</v>
      </c>
      <c r="F49" s="2" t="s">
        <v>17</v>
      </c>
      <c r="G49" s="2" t="s">
        <v>22</v>
      </c>
    </row>
    <row r="50" customFormat="false" ht="15.75" hidden="true" customHeight="false" outlineLevel="0" collapsed="false">
      <c r="B50" s="2" t="s">
        <v>51</v>
      </c>
      <c r="D50" s="2" t="s">
        <v>32</v>
      </c>
      <c r="E50" s="2" t="n">
        <v>2</v>
      </c>
      <c r="F50" s="8"/>
      <c r="G50" s="2" t="s">
        <v>54</v>
      </c>
    </row>
    <row r="51" customFormat="false" ht="15.75" hidden="true" customHeight="false" outlineLevel="0" collapsed="false">
      <c r="E51" s="2" t="n">
        <v>5</v>
      </c>
      <c r="F51" s="8"/>
      <c r="G51" s="2" t="s">
        <v>22</v>
      </c>
    </row>
    <row r="52" customFormat="false" ht="15.75" hidden="true" customHeight="false" outlineLevel="0" collapsed="false">
      <c r="E52" s="2" t="n">
        <v>9</v>
      </c>
      <c r="F52" s="8"/>
      <c r="G52" s="2" t="s">
        <v>22</v>
      </c>
    </row>
    <row r="53" customFormat="false" ht="15.75" hidden="true" customHeight="false" outlineLevel="0" collapsed="false">
      <c r="E53" s="2" t="n">
        <v>11</v>
      </c>
      <c r="F53" s="8"/>
      <c r="G53" s="2" t="s">
        <v>56</v>
      </c>
    </row>
    <row r="54" customFormat="false" ht="15.75" hidden="true" customHeight="false" outlineLevel="0" collapsed="false">
      <c r="E54" s="2" t="n">
        <v>12</v>
      </c>
      <c r="F54" s="8"/>
      <c r="G54" s="2" t="s">
        <v>52</v>
      </c>
    </row>
    <row r="55" customFormat="false" ht="15.75" hidden="true" customHeight="false" outlineLevel="0" collapsed="false">
      <c r="E55" s="2" t="n">
        <v>13</v>
      </c>
      <c r="F55" s="8"/>
      <c r="G55" s="2" t="s">
        <v>57</v>
      </c>
    </row>
    <row r="56" customFormat="false" ht="15.75" hidden="true" customHeight="false" outlineLevel="0" collapsed="false">
      <c r="B56" s="2" t="s">
        <v>23</v>
      </c>
      <c r="D56" s="2" t="s">
        <v>45</v>
      </c>
      <c r="E56" s="2" t="n">
        <v>2</v>
      </c>
      <c r="F56" s="8"/>
      <c r="G56" s="2" t="s">
        <v>52</v>
      </c>
    </row>
    <row r="57" customFormat="false" ht="15.75" hidden="true" customHeight="false" outlineLevel="0" collapsed="false">
      <c r="E57" s="2" t="n">
        <v>6</v>
      </c>
      <c r="F57" s="8"/>
      <c r="G57" s="2" t="s">
        <v>52</v>
      </c>
    </row>
    <row r="58" customFormat="false" ht="15.75" hidden="true" customHeight="false" outlineLevel="0" collapsed="false">
      <c r="B58" s="2" t="s">
        <v>51</v>
      </c>
      <c r="D58" s="2" t="s">
        <v>34</v>
      </c>
      <c r="E58" s="2" t="n">
        <v>3</v>
      </c>
      <c r="F58" s="8"/>
      <c r="G58" s="2" t="s">
        <v>52</v>
      </c>
      <c r="I58" s="2" t="s">
        <v>58</v>
      </c>
    </row>
    <row r="59" customFormat="false" ht="15.75" hidden="true" customHeight="false" outlineLevel="0" collapsed="false">
      <c r="A59" s="1" t="n">
        <v>45575</v>
      </c>
      <c r="B59" s="2" t="s">
        <v>59</v>
      </c>
      <c r="D59" s="2" t="s">
        <v>40</v>
      </c>
      <c r="E59" s="2" t="n">
        <v>13</v>
      </c>
      <c r="F59" s="8"/>
      <c r="G59" s="2" t="s">
        <v>47</v>
      </c>
    </row>
    <row r="60" customFormat="false" ht="15.75" hidden="true" customHeight="false" outlineLevel="0" collapsed="false">
      <c r="E60" s="2" t="n">
        <v>15</v>
      </c>
      <c r="F60" s="8"/>
      <c r="G60" s="2" t="s">
        <v>19</v>
      </c>
    </row>
    <row r="61" customFormat="false" ht="15.75" hidden="true" customHeight="false" outlineLevel="0" collapsed="false">
      <c r="B61" s="2" t="s">
        <v>60</v>
      </c>
      <c r="D61" s="2" t="s">
        <v>24</v>
      </c>
      <c r="E61" s="2" t="n">
        <v>3</v>
      </c>
      <c r="F61" s="8"/>
      <c r="G61" s="2" t="s">
        <v>61</v>
      </c>
    </row>
    <row r="62" customFormat="false" ht="15.75" hidden="true" customHeight="false" outlineLevel="0" collapsed="false">
      <c r="E62" s="2" t="n">
        <v>4</v>
      </c>
      <c r="F62" s="8"/>
      <c r="G62" s="8"/>
    </row>
    <row r="63" customFormat="false" ht="15.75" hidden="true" customHeight="false" outlineLevel="0" collapsed="false">
      <c r="E63" s="2" t="n">
        <v>12</v>
      </c>
      <c r="F63" s="2" t="s">
        <v>17</v>
      </c>
      <c r="G63" s="2" t="s">
        <v>47</v>
      </c>
    </row>
    <row r="64" customFormat="false" ht="15.75" hidden="true" customHeight="false" outlineLevel="0" collapsed="false">
      <c r="E64" s="2" t="n">
        <v>19</v>
      </c>
      <c r="F64" s="8"/>
      <c r="G64" s="2" t="s">
        <v>62</v>
      </c>
    </row>
    <row r="65" customFormat="false" ht="15.75" hidden="true" customHeight="false" outlineLevel="0" collapsed="false">
      <c r="B65" s="2" t="s">
        <v>63</v>
      </c>
      <c r="D65" s="2" t="s">
        <v>31</v>
      </c>
      <c r="E65" s="2" t="n">
        <v>1</v>
      </c>
      <c r="F65" s="8"/>
      <c r="G65" s="2" t="s">
        <v>57</v>
      </c>
    </row>
    <row r="66" customFormat="false" ht="15.75" hidden="true" customHeight="false" outlineLevel="0" collapsed="false">
      <c r="E66" s="2" t="n">
        <v>2</v>
      </c>
      <c r="F66" s="8"/>
      <c r="G66" s="2" t="s">
        <v>57</v>
      </c>
    </row>
    <row r="67" customFormat="false" ht="15.75" hidden="true" customHeight="false" outlineLevel="0" collapsed="false">
      <c r="E67" s="2" t="n">
        <v>3</v>
      </c>
      <c r="F67" s="8"/>
      <c r="G67" s="2" t="s">
        <v>57</v>
      </c>
    </row>
    <row r="68" customFormat="false" ht="15.75" hidden="true" customHeight="false" outlineLevel="0" collapsed="false">
      <c r="E68" s="2" t="n">
        <v>4</v>
      </c>
      <c r="F68" s="8"/>
      <c r="G68" s="2" t="s">
        <v>57</v>
      </c>
    </row>
    <row r="69" customFormat="false" ht="15.75" hidden="true" customHeight="false" outlineLevel="0" collapsed="false">
      <c r="E69" s="2" t="n">
        <v>16</v>
      </c>
      <c r="F69" s="8"/>
      <c r="G69" s="2" t="s">
        <v>64</v>
      </c>
    </row>
    <row r="70" customFormat="false" ht="15.75" hidden="true" customHeight="false" outlineLevel="0" collapsed="false">
      <c r="B70" s="2" t="s">
        <v>50</v>
      </c>
      <c r="D70" s="2" t="s">
        <v>32</v>
      </c>
      <c r="E70" s="2" t="n">
        <v>2</v>
      </c>
      <c r="F70" s="8"/>
      <c r="G70" s="2" t="s">
        <v>56</v>
      </c>
    </row>
    <row r="71" customFormat="false" ht="15.75" hidden="true" customHeight="false" outlineLevel="0" collapsed="false">
      <c r="E71" s="2" t="n">
        <v>2</v>
      </c>
      <c r="F71" s="8"/>
      <c r="G71" s="2" t="s">
        <v>38</v>
      </c>
    </row>
    <row r="72" customFormat="false" ht="15.75" hidden="true" customHeight="false" outlineLevel="0" collapsed="false">
      <c r="E72" s="2" t="n">
        <v>8</v>
      </c>
      <c r="F72" s="8"/>
      <c r="G72" s="2" t="s">
        <v>65</v>
      </c>
    </row>
    <row r="73" customFormat="false" ht="15.75" hidden="true" customHeight="false" outlineLevel="0" collapsed="false">
      <c r="B73" s="2" t="s">
        <v>59</v>
      </c>
      <c r="D73" s="2" t="s">
        <v>45</v>
      </c>
      <c r="E73" s="8"/>
      <c r="F73" s="8"/>
      <c r="G73" s="2" t="s">
        <v>66</v>
      </c>
    </row>
    <row r="74" customFormat="false" ht="15.75" hidden="true" customHeight="false" outlineLevel="0" collapsed="false">
      <c r="A74" s="1" t="n">
        <v>45576</v>
      </c>
      <c r="B74" s="2" t="s">
        <v>60</v>
      </c>
      <c r="D74" s="2" t="s">
        <v>40</v>
      </c>
      <c r="E74" s="2" t="n">
        <v>15</v>
      </c>
      <c r="F74" s="2" t="s">
        <v>37</v>
      </c>
      <c r="G74" s="2" t="s">
        <v>67</v>
      </c>
    </row>
    <row r="75" customFormat="false" ht="15.75" hidden="false" customHeight="false" outlineLevel="0" collapsed="false">
      <c r="B75" s="2" t="s">
        <v>60</v>
      </c>
      <c r="D75" s="2" t="s">
        <v>16</v>
      </c>
      <c r="E75" s="2" t="n">
        <v>6</v>
      </c>
      <c r="F75" s="8"/>
      <c r="G75" s="2" t="s">
        <v>68</v>
      </c>
    </row>
    <row r="76" customFormat="false" ht="15.75" hidden="true" customHeight="false" outlineLevel="0" collapsed="false">
      <c r="E76" s="2" t="n">
        <v>10</v>
      </c>
      <c r="F76" s="2" t="s">
        <v>37</v>
      </c>
      <c r="G76" s="2" t="s">
        <v>69</v>
      </c>
    </row>
    <row r="77" customFormat="false" ht="15.75" hidden="true" customHeight="false" outlineLevel="0" collapsed="false">
      <c r="B77" s="2" t="s">
        <v>60</v>
      </c>
      <c r="D77" s="2" t="s">
        <v>24</v>
      </c>
      <c r="E77" s="2" t="n">
        <v>15</v>
      </c>
      <c r="F77" s="8"/>
      <c r="G77" s="2" t="s">
        <v>52</v>
      </c>
    </row>
    <row r="78" customFormat="false" ht="15.75" hidden="true" customHeight="false" outlineLevel="0" collapsed="false">
      <c r="B78" s="2" t="s">
        <v>60</v>
      </c>
      <c r="D78" s="2" t="s">
        <v>31</v>
      </c>
      <c r="E78" s="8"/>
      <c r="F78" s="2" t="s">
        <v>70</v>
      </c>
      <c r="G78" s="2" t="s">
        <v>71</v>
      </c>
    </row>
    <row r="79" customFormat="false" ht="15.75" hidden="true" customHeight="false" outlineLevel="0" collapsed="false">
      <c r="B79" s="2" t="s">
        <v>50</v>
      </c>
      <c r="D79" s="2" t="s">
        <v>45</v>
      </c>
      <c r="E79" s="2" t="n">
        <v>3</v>
      </c>
      <c r="F79" s="2" t="s">
        <v>17</v>
      </c>
      <c r="G79" s="2" t="s">
        <v>22</v>
      </c>
    </row>
    <row r="80" customFormat="false" ht="15.75" hidden="true" customHeight="false" outlineLevel="0" collapsed="false">
      <c r="E80" s="2" t="n">
        <v>19</v>
      </c>
      <c r="F80" s="8"/>
      <c r="G80" s="2" t="s">
        <v>56</v>
      </c>
    </row>
    <row r="81" customFormat="false" ht="15.75" hidden="true" customHeight="false" outlineLevel="0" collapsed="false">
      <c r="E81" s="2" t="n">
        <v>19</v>
      </c>
      <c r="F81" s="8"/>
      <c r="G81" s="2" t="s">
        <v>18</v>
      </c>
    </row>
    <row r="82" customFormat="false" ht="15.75" hidden="true" customHeight="false" outlineLevel="0" collapsed="false">
      <c r="A82" s="1" t="n">
        <v>45577</v>
      </c>
      <c r="B82" s="2" t="s">
        <v>60</v>
      </c>
      <c r="D82" s="2" t="s">
        <v>36</v>
      </c>
      <c r="F82" s="2" t="s">
        <v>72</v>
      </c>
      <c r="G82" s="2" t="s">
        <v>68</v>
      </c>
    </row>
    <row r="83" customFormat="false" ht="15.75" hidden="true" customHeight="false" outlineLevel="0" collapsed="false">
      <c r="B83" s="2" t="s">
        <v>73</v>
      </c>
      <c r="D83" s="2" t="s">
        <v>53</v>
      </c>
      <c r="E83" s="8"/>
      <c r="F83" s="8"/>
      <c r="G83" s="2" t="s">
        <v>74</v>
      </c>
    </row>
    <row r="84" customFormat="false" ht="15.75" hidden="true" customHeight="false" outlineLevel="0" collapsed="false">
      <c r="B84" s="2" t="s">
        <v>75</v>
      </c>
      <c r="D84" s="2" t="s">
        <v>53</v>
      </c>
      <c r="E84" s="2" t="n">
        <v>2</v>
      </c>
      <c r="F84" s="8"/>
      <c r="G84" s="2" t="s">
        <v>52</v>
      </c>
    </row>
    <row r="85" customFormat="false" ht="15.75" hidden="true" customHeight="false" outlineLevel="0" collapsed="false">
      <c r="E85" s="2" t="n">
        <v>12</v>
      </c>
      <c r="F85" s="2" t="s">
        <v>37</v>
      </c>
      <c r="G85" s="2" t="s">
        <v>76</v>
      </c>
    </row>
    <row r="86" customFormat="false" ht="15.75" hidden="true" customHeight="false" outlineLevel="0" collapsed="false">
      <c r="E86" s="2" t="n">
        <v>13</v>
      </c>
      <c r="F86" s="8"/>
      <c r="G86" s="2" t="s">
        <v>77</v>
      </c>
    </row>
    <row r="87" customFormat="false" ht="15.75" hidden="true" customHeight="false" outlineLevel="0" collapsed="false">
      <c r="E87" s="2" t="n">
        <v>14</v>
      </c>
      <c r="F87" s="8"/>
      <c r="G87" s="2" t="s">
        <v>77</v>
      </c>
    </row>
    <row r="88" customFormat="false" ht="15.75" hidden="true" customHeight="false" outlineLevel="0" collapsed="false">
      <c r="E88" s="2" t="n">
        <v>15</v>
      </c>
      <c r="F88" s="8"/>
      <c r="G88" s="2" t="s">
        <v>52</v>
      </c>
    </row>
    <row r="89" customFormat="false" ht="15.75" hidden="false" customHeight="false" outlineLevel="0" collapsed="false">
      <c r="B89" s="2" t="s">
        <v>78</v>
      </c>
      <c r="D89" s="2" t="s">
        <v>16</v>
      </c>
      <c r="E89" s="8"/>
      <c r="F89" s="8"/>
      <c r="G89" s="2" t="s">
        <v>79</v>
      </c>
    </row>
    <row r="90" customFormat="false" ht="15.75" hidden="true" customHeight="false" outlineLevel="0" collapsed="false">
      <c r="A90" s="1" t="n">
        <v>45581</v>
      </c>
      <c r="B90" s="2" t="s">
        <v>78</v>
      </c>
      <c r="D90" s="2" t="s">
        <v>20</v>
      </c>
      <c r="E90" s="8"/>
      <c r="F90" s="8"/>
      <c r="G90" s="2" t="s">
        <v>80</v>
      </c>
    </row>
    <row r="91" customFormat="false" ht="15.75" hidden="true" customHeight="false" outlineLevel="0" collapsed="false">
      <c r="B91" s="2" t="s">
        <v>75</v>
      </c>
      <c r="D91" s="2" t="s">
        <v>24</v>
      </c>
      <c r="E91" s="2" t="n">
        <v>5</v>
      </c>
      <c r="F91" s="2" t="s">
        <v>37</v>
      </c>
      <c r="G91" s="2" t="s">
        <v>81</v>
      </c>
    </row>
    <row r="92" customFormat="false" ht="15.75" hidden="true" customHeight="false" outlineLevel="0" collapsed="false">
      <c r="D92" s="2" t="s">
        <v>31</v>
      </c>
      <c r="E92" s="2" t="n">
        <v>13</v>
      </c>
      <c r="F92" s="2" t="s">
        <v>37</v>
      </c>
      <c r="G92" s="2" t="s">
        <v>56</v>
      </c>
    </row>
    <row r="93" customFormat="false" ht="15.75" hidden="true" customHeight="false" outlineLevel="0" collapsed="false">
      <c r="B93" s="2" t="s">
        <v>78</v>
      </c>
      <c r="D93" s="2" t="s">
        <v>32</v>
      </c>
      <c r="E93" s="2" t="n">
        <v>2</v>
      </c>
      <c r="F93" s="8"/>
      <c r="G93" s="2" t="s">
        <v>82</v>
      </c>
    </row>
    <row r="94" customFormat="false" ht="15.75" hidden="true" customHeight="false" outlineLevel="0" collapsed="false">
      <c r="A94" s="1" t="n">
        <v>45582</v>
      </c>
      <c r="B94" s="2" t="s">
        <v>75</v>
      </c>
      <c r="D94" s="2" t="s">
        <v>34</v>
      </c>
      <c r="E94" s="2" t="n">
        <v>4</v>
      </c>
      <c r="F94" s="2" t="s">
        <v>17</v>
      </c>
      <c r="G94" s="2" t="s">
        <v>19</v>
      </c>
    </row>
    <row r="95" customFormat="false" ht="15.75" hidden="true" customHeight="false" outlineLevel="0" collapsed="false">
      <c r="E95" s="8" t="s">
        <v>23</v>
      </c>
      <c r="F95" s="2" t="s">
        <v>72</v>
      </c>
      <c r="G95" s="2" t="s">
        <v>83</v>
      </c>
    </row>
    <row r="96" customFormat="false" ht="15.75" hidden="true" customHeight="false" outlineLevel="0" collapsed="false">
      <c r="E96" s="2" t="n">
        <v>14</v>
      </c>
      <c r="F96" s="8"/>
      <c r="G96" s="2" t="s">
        <v>64</v>
      </c>
    </row>
    <row r="97" customFormat="false" ht="15.75" hidden="true" customHeight="false" outlineLevel="0" collapsed="false">
      <c r="B97" s="2" t="s">
        <v>84</v>
      </c>
      <c r="D97" s="2" t="s">
        <v>45</v>
      </c>
      <c r="E97" s="8"/>
      <c r="F97" s="8"/>
      <c r="G97" s="2" t="s">
        <v>85</v>
      </c>
    </row>
    <row r="98" customFormat="false" ht="15.75" hidden="false" customHeight="false" outlineLevel="0" collapsed="false">
      <c r="B98" s="2" t="s">
        <v>75</v>
      </c>
      <c r="D98" s="2" t="s">
        <v>16</v>
      </c>
      <c r="E98" s="8" t="s">
        <v>23</v>
      </c>
      <c r="F98" s="8"/>
      <c r="G98" s="2" t="s">
        <v>56</v>
      </c>
    </row>
    <row r="99" customFormat="false" ht="15.75" hidden="true" customHeight="false" outlineLevel="0" collapsed="false">
      <c r="E99" s="2" t="n">
        <v>13</v>
      </c>
      <c r="F99" s="8"/>
      <c r="G99" s="2" t="s">
        <v>86</v>
      </c>
    </row>
    <row r="100" customFormat="false" ht="15.75" hidden="true" customHeight="false" outlineLevel="0" collapsed="false">
      <c r="B100" s="2" t="s">
        <v>75</v>
      </c>
      <c r="D100" s="2" t="s">
        <v>32</v>
      </c>
      <c r="E100" s="2" t="n">
        <v>2</v>
      </c>
      <c r="F100" s="8" t="s">
        <v>37</v>
      </c>
      <c r="G100" s="2" t="s">
        <v>87</v>
      </c>
    </row>
    <row r="101" customFormat="false" ht="15.75" hidden="true" customHeight="false" outlineLevel="0" collapsed="false">
      <c r="E101" s="2" t="n">
        <v>10</v>
      </c>
      <c r="F101" s="8"/>
      <c r="G101" s="2" t="s">
        <v>19</v>
      </c>
    </row>
    <row r="102" customFormat="false" ht="15.75" hidden="true" customHeight="false" outlineLevel="0" collapsed="false">
      <c r="E102" s="2" t="n">
        <v>11</v>
      </c>
      <c r="F102" s="8"/>
      <c r="G102" s="2" t="s">
        <v>52</v>
      </c>
    </row>
    <row r="103" customFormat="false" ht="15.75" hidden="true" customHeight="false" outlineLevel="0" collapsed="false">
      <c r="B103" s="2" t="s">
        <v>88</v>
      </c>
      <c r="D103" s="2" t="s">
        <v>34</v>
      </c>
      <c r="E103" s="8"/>
      <c r="F103" s="8"/>
      <c r="G103" s="2" t="s">
        <v>89</v>
      </c>
    </row>
    <row r="104" customFormat="false" ht="15.75" hidden="true" customHeight="false" outlineLevel="0" collapsed="false">
      <c r="B104" s="2" t="s">
        <v>23</v>
      </c>
      <c r="D104" s="2" t="s">
        <v>45</v>
      </c>
      <c r="E104" s="8"/>
      <c r="F104" s="8"/>
      <c r="G104" s="2" t="s">
        <v>90</v>
      </c>
    </row>
    <row r="105" customFormat="false" ht="15.75" hidden="true" customHeight="false" outlineLevel="0" collapsed="false">
      <c r="A105" s="1" t="n">
        <v>45583</v>
      </c>
      <c r="B105" s="2" t="s">
        <v>23</v>
      </c>
      <c r="D105" s="2" t="s">
        <v>36</v>
      </c>
      <c r="E105" s="8"/>
      <c r="F105" s="8"/>
      <c r="G105" s="2" t="s">
        <v>91</v>
      </c>
    </row>
    <row r="106" customFormat="false" ht="15.75" hidden="true" customHeight="false" outlineLevel="0" collapsed="false">
      <c r="B106" s="2" t="s">
        <v>23</v>
      </c>
      <c r="D106" s="2" t="s">
        <v>40</v>
      </c>
      <c r="E106" s="2" t="n">
        <v>4</v>
      </c>
      <c r="F106" s="8"/>
      <c r="G106" s="2" t="s">
        <v>92</v>
      </c>
    </row>
    <row r="107" customFormat="false" ht="15.75" hidden="false" customHeight="false" outlineLevel="0" collapsed="false">
      <c r="B107" s="2" t="s">
        <v>23</v>
      </c>
      <c r="D107" s="2" t="s">
        <v>16</v>
      </c>
      <c r="E107" s="8"/>
      <c r="F107" s="8"/>
      <c r="G107" s="2" t="s">
        <v>93</v>
      </c>
    </row>
    <row r="108" customFormat="false" ht="15.75" hidden="true" customHeight="false" outlineLevel="0" collapsed="false">
      <c r="B108" s="2" t="s">
        <v>78</v>
      </c>
      <c r="D108" s="2" t="s">
        <v>34</v>
      </c>
      <c r="E108" s="8"/>
      <c r="F108" s="8"/>
      <c r="G108" s="2" t="s">
        <v>94</v>
      </c>
    </row>
    <row r="109" customFormat="false" ht="15.75" hidden="true" customHeight="false" outlineLevel="0" collapsed="false">
      <c r="A109" s="1" t="n">
        <v>45584</v>
      </c>
      <c r="B109" s="2" t="s">
        <v>95</v>
      </c>
      <c r="D109" s="2" t="s">
        <v>36</v>
      </c>
      <c r="E109" s="8"/>
      <c r="F109" s="8"/>
      <c r="G109" s="2" t="s">
        <v>96</v>
      </c>
    </row>
    <row r="110" customFormat="false" ht="15.75" hidden="true" customHeight="false" outlineLevel="0" collapsed="false">
      <c r="B110" s="2" t="s">
        <v>97</v>
      </c>
      <c r="D110" s="2" t="s">
        <v>34</v>
      </c>
      <c r="E110" s="8"/>
      <c r="F110" s="8"/>
      <c r="G110" s="2" t="s">
        <v>98</v>
      </c>
    </row>
    <row r="111" customFormat="false" ht="15.75" hidden="true" customHeight="false" outlineLevel="0" collapsed="false">
      <c r="A111" s="1" t="n">
        <v>45585</v>
      </c>
      <c r="B111" s="2" t="s">
        <v>95</v>
      </c>
      <c r="D111" s="2" t="s">
        <v>40</v>
      </c>
      <c r="E111" s="8"/>
      <c r="F111" s="8"/>
      <c r="G111" s="2" t="s">
        <v>99</v>
      </c>
    </row>
    <row r="112" customFormat="false" ht="15.75" hidden="true" customHeight="false" outlineLevel="0" collapsed="false">
      <c r="B112" s="2" t="s">
        <v>100</v>
      </c>
      <c r="D112" s="2" t="s">
        <v>40</v>
      </c>
      <c r="E112" s="2" t="n">
        <v>8</v>
      </c>
      <c r="F112" s="8"/>
      <c r="G112" s="2" t="s">
        <v>101</v>
      </c>
    </row>
    <row r="113" customFormat="false" ht="15.75" hidden="true" customHeight="false" outlineLevel="0" collapsed="false">
      <c r="B113" s="2" t="s">
        <v>95</v>
      </c>
      <c r="D113" s="2" t="s">
        <v>53</v>
      </c>
      <c r="F113" s="8"/>
      <c r="G113" s="2" t="s">
        <v>102</v>
      </c>
    </row>
    <row r="114" customFormat="false" ht="15.75" hidden="true" customHeight="false" outlineLevel="0" collapsed="false">
      <c r="B114" s="2" t="s">
        <v>103</v>
      </c>
      <c r="D114" s="2" t="s">
        <v>31</v>
      </c>
      <c r="E114" s="2" t="n">
        <v>14</v>
      </c>
      <c r="F114" s="8" t="s">
        <v>17</v>
      </c>
      <c r="G114" s="2" t="s">
        <v>19</v>
      </c>
    </row>
    <row r="115" customFormat="false" ht="15.75" hidden="true" customHeight="false" outlineLevel="0" collapsed="false">
      <c r="E115" s="2" t="n">
        <v>12</v>
      </c>
      <c r="F115" s="8"/>
      <c r="G115" s="2" t="s">
        <v>104</v>
      </c>
    </row>
    <row r="116" customFormat="false" ht="15.75" hidden="true" customHeight="false" outlineLevel="0" collapsed="false">
      <c r="A116" s="1" t="n">
        <v>45586</v>
      </c>
      <c r="B116" s="2" t="s">
        <v>103</v>
      </c>
      <c r="D116" s="2" t="s">
        <v>40</v>
      </c>
      <c r="E116" s="2" t="n">
        <v>13</v>
      </c>
      <c r="F116" s="8"/>
      <c r="G116" s="2" t="s">
        <v>52</v>
      </c>
    </row>
    <row r="117" customFormat="false" ht="15.75" hidden="true" customHeight="false" outlineLevel="0" collapsed="false">
      <c r="E117" s="2" t="n">
        <v>13</v>
      </c>
      <c r="F117" s="8"/>
      <c r="G117" s="2" t="s">
        <v>105</v>
      </c>
    </row>
    <row r="118" customFormat="false" ht="15.75" hidden="true" customHeight="false" outlineLevel="0" collapsed="false">
      <c r="B118" s="2" t="s">
        <v>103</v>
      </c>
      <c r="D118" s="2" t="s">
        <v>53</v>
      </c>
      <c r="E118" s="2" t="n">
        <v>8</v>
      </c>
      <c r="F118" s="8"/>
      <c r="G118" s="2" t="s">
        <v>22</v>
      </c>
    </row>
    <row r="119" customFormat="false" ht="15.75" hidden="true" customHeight="false" outlineLevel="0" collapsed="false">
      <c r="B119" s="2" t="s">
        <v>95</v>
      </c>
      <c r="D119" s="2" t="s">
        <v>20</v>
      </c>
      <c r="E119" s="8"/>
      <c r="F119" s="8"/>
      <c r="G119" s="2" t="s">
        <v>106</v>
      </c>
    </row>
    <row r="120" customFormat="false" ht="15.75" hidden="true" customHeight="false" outlineLevel="0" collapsed="false">
      <c r="B120" s="2" t="s">
        <v>100</v>
      </c>
      <c r="D120" s="2" t="s">
        <v>20</v>
      </c>
      <c r="E120" s="2" t="n">
        <v>3</v>
      </c>
      <c r="F120" s="8"/>
      <c r="G120" s="2" t="s">
        <v>22</v>
      </c>
    </row>
    <row r="121" customFormat="false" ht="15.75" hidden="true" customHeight="false" outlineLevel="0" collapsed="false">
      <c r="E121" s="2" t="n">
        <v>13</v>
      </c>
      <c r="F121" s="8"/>
      <c r="G121" s="2" t="s">
        <v>22</v>
      </c>
    </row>
    <row r="122" customFormat="false" ht="15.75" hidden="true" customHeight="false" outlineLevel="0" collapsed="false">
      <c r="B122" s="2" t="s">
        <v>23</v>
      </c>
      <c r="D122" s="2" t="s">
        <v>32</v>
      </c>
      <c r="E122" s="2" t="n">
        <v>12</v>
      </c>
      <c r="F122" s="8"/>
      <c r="G122" s="2" t="s">
        <v>54</v>
      </c>
    </row>
    <row r="123" customFormat="false" ht="15.75" hidden="true" customHeight="false" outlineLevel="0" collapsed="false">
      <c r="E123" s="2" t="n">
        <v>14</v>
      </c>
      <c r="F123" s="8"/>
      <c r="G123" s="2" t="s">
        <v>107</v>
      </c>
    </row>
    <row r="124" customFormat="false" ht="15.75" hidden="true" customHeight="false" outlineLevel="0" collapsed="false">
      <c r="B124" s="2" t="s">
        <v>23</v>
      </c>
      <c r="D124" s="2" t="s">
        <v>34</v>
      </c>
      <c r="E124" s="8" t="s">
        <v>23</v>
      </c>
      <c r="F124" s="8"/>
      <c r="G124" s="2" t="s">
        <v>52</v>
      </c>
    </row>
    <row r="125" customFormat="false" ht="15.75" hidden="true" customHeight="false" outlineLevel="0" collapsed="false">
      <c r="E125" s="2" t="n">
        <v>12</v>
      </c>
      <c r="F125" s="8"/>
      <c r="G125" s="2" t="s">
        <v>56</v>
      </c>
    </row>
    <row r="126" customFormat="false" ht="15.75" hidden="true" customHeight="false" outlineLevel="0" collapsed="false">
      <c r="A126" s="1" t="n">
        <v>45587</v>
      </c>
      <c r="B126" s="2" t="s">
        <v>108</v>
      </c>
      <c r="D126" s="2" t="s">
        <v>20</v>
      </c>
      <c r="E126" s="8" t="s">
        <v>23</v>
      </c>
      <c r="F126" s="2" t="s">
        <v>37</v>
      </c>
      <c r="G126" s="2" t="s">
        <v>109</v>
      </c>
    </row>
    <row r="127" customFormat="false" ht="15.75" hidden="true" customHeight="false" outlineLevel="0" collapsed="false">
      <c r="B127" s="2" t="s">
        <v>108</v>
      </c>
      <c r="D127" s="2" t="s">
        <v>32</v>
      </c>
      <c r="E127" s="2" t="n">
        <v>5</v>
      </c>
      <c r="F127" s="8"/>
      <c r="G127" s="2" t="s">
        <v>109</v>
      </c>
    </row>
    <row r="128" customFormat="false" ht="15.75" hidden="true" customHeight="false" outlineLevel="0" collapsed="false">
      <c r="B128" s="2" t="s">
        <v>103</v>
      </c>
      <c r="D128" s="2" t="s">
        <v>34</v>
      </c>
      <c r="E128" s="2" t="n">
        <v>13</v>
      </c>
      <c r="F128" s="8"/>
      <c r="G128" s="2" t="s">
        <v>54</v>
      </c>
    </row>
    <row r="129" customFormat="false" ht="15.75" hidden="true" customHeight="false" outlineLevel="0" collapsed="false">
      <c r="B129" s="2" t="s">
        <v>110</v>
      </c>
      <c r="D129" s="2" t="s">
        <v>45</v>
      </c>
      <c r="E129" s="2" t="n">
        <v>20</v>
      </c>
      <c r="F129" s="8"/>
      <c r="G129" s="2" t="s">
        <v>111</v>
      </c>
    </row>
    <row r="130" customFormat="false" ht="15.75" hidden="true" customHeight="false" outlineLevel="0" collapsed="false">
      <c r="B130" s="2" t="s">
        <v>103</v>
      </c>
      <c r="D130" s="2" t="s">
        <v>45</v>
      </c>
      <c r="E130" s="2" t="n">
        <v>11</v>
      </c>
      <c r="F130" s="8"/>
      <c r="G130" s="2" t="s">
        <v>54</v>
      </c>
    </row>
    <row r="131" customFormat="false" ht="15.75" hidden="true" customHeight="false" outlineLevel="0" collapsed="false">
      <c r="F131" s="2" t="s">
        <v>112</v>
      </c>
      <c r="G131" s="2" t="s">
        <v>54</v>
      </c>
    </row>
    <row r="132" customFormat="false" ht="15.75" hidden="true" customHeight="false" outlineLevel="0" collapsed="false">
      <c r="A132" s="1" t="s">
        <v>23</v>
      </c>
      <c r="B132" s="2" t="s">
        <v>75</v>
      </c>
      <c r="D132" s="2" t="s">
        <v>36</v>
      </c>
      <c r="E132" s="2" t="n">
        <v>2</v>
      </c>
      <c r="F132" s="8"/>
      <c r="G132" s="2" t="s">
        <v>52</v>
      </c>
    </row>
    <row r="133" customFormat="false" ht="15.75" hidden="true" customHeight="false" outlineLevel="0" collapsed="false">
      <c r="E133" s="8"/>
      <c r="F133" s="2" t="s">
        <v>72</v>
      </c>
      <c r="G133" s="2" t="s">
        <v>113</v>
      </c>
    </row>
    <row r="134" customFormat="false" ht="15.75" hidden="true" customHeight="false" outlineLevel="0" collapsed="false">
      <c r="E134" s="8"/>
      <c r="F134" s="2" t="s">
        <v>112</v>
      </c>
      <c r="G134" s="2" t="s">
        <v>114</v>
      </c>
    </row>
  </sheetData>
  <autoFilter ref="A3:G134">
    <filterColumn colId="3">
      <filters>
        <filter val="Teddy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95" activeCellId="0" sqref="M95"/>
    </sheetView>
  </sheetViews>
  <sheetFormatPr defaultColWidth="10.52734375" defaultRowHeight="15.75" zeroHeight="false" outlineLevelRow="0" outlineLevelCol="0"/>
  <cols>
    <col collapsed="false" customWidth="true" hidden="false" outlineLevel="0" max="6" min="6" style="9" width="96.26"/>
  </cols>
  <sheetData>
    <row r="1" customFormat="false" ht="15.75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customFormat="false" ht="15.75" hidden="false" customHeight="false" outlineLevel="0" collapsed="false">
      <c r="A2" s="11" t="n">
        <v>45611</v>
      </c>
      <c r="B2" s="10" t="s">
        <v>15</v>
      </c>
      <c r="C2" s="10" t="s">
        <v>115</v>
      </c>
      <c r="D2" s="10" t="n">
        <v>1</v>
      </c>
      <c r="E2" s="10" t="s">
        <v>17</v>
      </c>
      <c r="F2" s="10" t="s">
        <v>19</v>
      </c>
    </row>
    <row r="3" customFormat="false" ht="15.75" hidden="false" customHeight="false" outlineLevel="0" collapsed="false">
      <c r="D3" s="10" t="n">
        <v>12</v>
      </c>
      <c r="E3" s="10" t="s">
        <v>37</v>
      </c>
      <c r="F3" s="10" t="s">
        <v>22</v>
      </c>
    </row>
    <row r="4" customFormat="false" ht="15.75" hidden="false" customHeight="false" outlineLevel="0" collapsed="false">
      <c r="C4" s="10" t="s">
        <v>116</v>
      </c>
      <c r="D4" s="10" t="n">
        <v>11</v>
      </c>
      <c r="E4" s="10" t="s">
        <v>37</v>
      </c>
      <c r="F4" s="10" t="s">
        <v>19</v>
      </c>
    </row>
    <row r="5" customFormat="false" ht="15.75" hidden="false" customHeight="false" outlineLevel="0" collapsed="false">
      <c r="C5" s="10" t="s">
        <v>117</v>
      </c>
      <c r="F5" s="10" t="s">
        <v>118</v>
      </c>
    </row>
    <row r="6" customFormat="false" ht="15.75" hidden="false" customHeight="false" outlineLevel="0" collapsed="false">
      <c r="C6" s="10" t="s">
        <v>119</v>
      </c>
      <c r="D6" s="10" t="n">
        <v>11</v>
      </c>
      <c r="F6" s="10" t="s">
        <v>118</v>
      </c>
    </row>
    <row r="7" customFormat="false" ht="15.75" hidden="false" customHeight="false" outlineLevel="0" collapsed="false">
      <c r="A7" s="11" t="n">
        <v>45612</v>
      </c>
      <c r="B7" s="10" t="s">
        <v>35</v>
      </c>
      <c r="C7" s="10" t="s">
        <v>115</v>
      </c>
      <c r="D7" s="10" t="s">
        <v>120</v>
      </c>
      <c r="F7" s="10" t="s">
        <v>121</v>
      </c>
    </row>
    <row r="8" customFormat="false" ht="15.75" hidden="false" customHeight="false" outlineLevel="0" collapsed="false">
      <c r="B8" s="10" t="s">
        <v>35</v>
      </c>
      <c r="C8" s="10" t="s">
        <v>116</v>
      </c>
      <c r="D8" s="10" t="n">
        <v>18</v>
      </c>
      <c r="F8" s="10" t="s">
        <v>22</v>
      </c>
    </row>
    <row r="9" customFormat="false" ht="15.75" hidden="false" customHeight="false" outlineLevel="0" collapsed="false">
      <c r="B9" s="10" t="s">
        <v>35</v>
      </c>
      <c r="C9" s="10" t="s">
        <v>117</v>
      </c>
      <c r="D9" s="10" t="n">
        <v>10</v>
      </c>
      <c r="F9" s="10" t="s">
        <v>19</v>
      </c>
    </row>
    <row r="10" customFormat="false" ht="15.75" hidden="false" customHeight="false" outlineLevel="0" collapsed="false">
      <c r="B10" s="10" t="s">
        <v>35</v>
      </c>
      <c r="C10" s="10" t="s">
        <v>122</v>
      </c>
      <c r="D10" s="10" t="n">
        <v>2</v>
      </c>
      <c r="F10" s="10" t="s">
        <v>123</v>
      </c>
    </row>
    <row r="11" customFormat="false" ht="15.75" hidden="false" customHeight="false" outlineLevel="0" collapsed="false">
      <c r="B11" s="10" t="s">
        <v>35</v>
      </c>
      <c r="C11" s="10" t="s">
        <v>119</v>
      </c>
      <c r="D11" s="10" t="n">
        <v>1</v>
      </c>
      <c r="F11" s="10" t="s">
        <v>56</v>
      </c>
    </row>
    <row r="12" customFormat="false" ht="15.75" hidden="false" customHeight="false" outlineLevel="0" collapsed="false">
      <c r="D12" s="10" t="n">
        <v>5</v>
      </c>
      <c r="F12" s="10" t="s">
        <v>124</v>
      </c>
    </row>
    <row r="13" customFormat="false" ht="15.75" hidden="false" customHeight="false" outlineLevel="0" collapsed="false">
      <c r="D13" s="10" t="n">
        <v>9</v>
      </c>
      <c r="F13" s="10" t="s">
        <v>22</v>
      </c>
    </row>
    <row r="14" customFormat="false" ht="15.75" hidden="false" customHeight="false" outlineLevel="0" collapsed="false">
      <c r="B14" s="10" t="s">
        <v>35</v>
      </c>
      <c r="C14" s="10" t="s">
        <v>125</v>
      </c>
      <c r="D14" s="10" t="n">
        <v>13</v>
      </c>
      <c r="E14" s="10" t="s">
        <v>37</v>
      </c>
      <c r="F14" s="10" t="s">
        <v>126</v>
      </c>
    </row>
    <row r="15" customFormat="false" ht="15.75" hidden="false" customHeight="false" outlineLevel="0" collapsed="false">
      <c r="C15" s="10" t="s">
        <v>127</v>
      </c>
      <c r="D15" s="10" t="n">
        <v>3</v>
      </c>
      <c r="F15" s="10" t="s">
        <v>128</v>
      </c>
    </row>
    <row r="16" customFormat="false" ht="15.75" hidden="false" customHeight="false" outlineLevel="0" collapsed="false">
      <c r="D16" s="10" t="n">
        <v>4</v>
      </c>
    </row>
    <row r="17" customFormat="false" ht="15.75" hidden="false" customHeight="false" outlineLevel="0" collapsed="false">
      <c r="D17" s="10" t="n">
        <v>5</v>
      </c>
    </row>
    <row r="18" customFormat="false" ht="15.75" hidden="false" customHeight="false" outlineLevel="0" collapsed="false">
      <c r="A18" s="11" t="n">
        <v>45613</v>
      </c>
      <c r="B18" s="10" t="s">
        <v>50</v>
      </c>
      <c r="C18" s="10" t="s">
        <v>117</v>
      </c>
      <c r="F18" s="10" t="s">
        <v>129</v>
      </c>
    </row>
    <row r="19" customFormat="false" ht="15.75" hidden="false" customHeight="false" outlineLevel="0" collapsed="false">
      <c r="B19" s="10" t="s">
        <v>50</v>
      </c>
      <c r="C19" s="10" t="s">
        <v>130</v>
      </c>
      <c r="D19" s="10" t="n">
        <v>12</v>
      </c>
      <c r="F19" s="10" t="s">
        <v>131</v>
      </c>
    </row>
    <row r="20" customFormat="false" ht="15.75" hidden="false" customHeight="false" outlineLevel="0" collapsed="false">
      <c r="B20" s="10" t="s">
        <v>50</v>
      </c>
      <c r="C20" s="10" t="s">
        <v>122</v>
      </c>
      <c r="D20" s="10" t="s">
        <v>23</v>
      </c>
      <c r="F20" s="10" t="s">
        <v>132</v>
      </c>
    </row>
    <row r="21" customFormat="false" ht="15.75" hidden="false" customHeight="false" outlineLevel="0" collapsed="false">
      <c r="B21" s="10" t="s">
        <v>23</v>
      </c>
      <c r="C21" s="10" t="s">
        <v>119</v>
      </c>
      <c r="D21" s="10" t="n">
        <v>3</v>
      </c>
      <c r="E21" s="10" t="s">
        <v>17</v>
      </c>
      <c r="F21" s="10" t="s">
        <v>133</v>
      </c>
    </row>
    <row r="22" customFormat="false" ht="15.75" hidden="false" customHeight="false" outlineLevel="0" collapsed="false">
      <c r="D22" s="10" t="n">
        <v>10</v>
      </c>
      <c r="E22" s="10" t="s">
        <v>37</v>
      </c>
      <c r="F22" s="10" t="s">
        <v>19</v>
      </c>
    </row>
    <row r="23" customFormat="false" ht="15.75" hidden="false" customHeight="false" outlineLevel="0" collapsed="false">
      <c r="D23" s="10" t="n">
        <v>14</v>
      </c>
      <c r="F23" s="10" t="s">
        <v>52</v>
      </c>
    </row>
    <row r="24" customFormat="false" ht="15.75" hidden="false" customHeight="false" outlineLevel="0" collapsed="false">
      <c r="B24" s="10" t="s">
        <v>51</v>
      </c>
      <c r="C24" s="10" t="s">
        <v>125</v>
      </c>
      <c r="D24" s="10" t="n">
        <v>1</v>
      </c>
      <c r="F24" s="10" t="s">
        <v>22</v>
      </c>
    </row>
    <row r="25" customFormat="false" ht="15.75" hidden="false" customHeight="false" outlineLevel="0" collapsed="false">
      <c r="B25" s="10" t="s">
        <v>23</v>
      </c>
      <c r="C25" s="10" t="s">
        <v>127</v>
      </c>
      <c r="D25" s="10" t="n">
        <v>2</v>
      </c>
      <c r="F25" s="10" t="s">
        <v>134</v>
      </c>
    </row>
    <row r="26" customFormat="false" ht="15.75" hidden="false" customHeight="false" outlineLevel="0" collapsed="false">
      <c r="D26" s="10" t="n">
        <v>9</v>
      </c>
      <c r="F26" s="10" t="s">
        <v>135</v>
      </c>
    </row>
    <row r="27" customFormat="false" ht="15.75" hidden="false" customHeight="false" outlineLevel="0" collapsed="false">
      <c r="A27" s="11" t="n">
        <v>45614</v>
      </c>
      <c r="B27" s="10" t="s">
        <v>23</v>
      </c>
      <c r="C27" s="10" t="s">
        <v>122</v>
      </c>
      <c r="D27" s="10" t="n">
        <v>5</v>
      </c>
      <c r="F27" s="10" t="s">
        <v>136</v>
      </c>
    </row>
    <row r="28" customFormat="false" ht="15.75" hidden="false" customHeight="false" outlineLevel="0" collapsed="false">
      <c r="C28" s="10" t="s">
        <v>137</v>
      </c>
      <c r="D28" s="10" t="n">
        <v>7</v>
      </c>
      <c r="F28" s="10" t="s">
        <v>138</v>
      </c>
    </row>
    <row r="29" customFormat="false" ht="15.75" hidden="false" customHeight="false" outlineLevel="0" collapsed="false">
      <c r="B29" s="10" t="s">
        <v>60</v>
      </c>
      <c r="C29" s="10" t="s">
        <v>115</v>
      </c>
      <c r="E29" s="10" t="s">
        <v>70</v>
      </c>
      <c r="F29" s="10" t="s">
        <v>139</v>
      </c>
    </row>
    <row r="30" customFormat="false" ht="15.75" hidden="false" customHeight="false" outlineLevel="0" collapsed="false">
      <c r="B30" s="10" t="s">
        <v>59</v>
      </c>
      <c r="C30" s="10" t="s">
        <v>116</v>
      </c>
      <c r="D30" s="10" t="n">
        <v>1</v>
      </c>
      <c r="F30" s="10" t="s">
        <v>140</v>
      </c>
    </row>
    <row r="31" customFormat="false" ht="15.75" hidden="false" customHeight="false" outlineLevel="0" collapsed="false">
      <c r="D31" s="10" t="n">
        <v>17</v>
      </c>
      <c r="F31" s="10" t="s">
        <v>19</v>
      </c>
    </row>
    <row r="32" customFormat="false" ht="15.75" hidden="false" customHeight="false" outlineLevel="0" collapsed="false">
      <c r="D32" s="10" t="n">
        <v>19</v>
      </c>
      <c r="E32" s="10" t="s">
        <v>17</v>
      </c>
      <c r="F32" s="10" t="s">
        <v>141</v>
      </c>
    </row>
    <row r="33" customFormat="false" ht="15.75" hidden="false" customHeight="false" outlineLevel="0" collapsed="false">
      <c r="D33" s="10" t="n">
        <v>20</v>
      </c>
      <c r="E33" s="10" t="s">
        <v>37</v>
      </c>
      <c r="F33" s="10" t="s">
        <v>142</v>
      </c>
    </row>
    <row r="34" customFormat="false" ht="15.75" hidden="false" customHeight="false" outlineLevel="0" collapsed="false">
      <c r="F34" s="10" t="s">
        <v>143</v>
      </c>
    </row>
    <row r="35" customFormat="false" ht="15.75" hidden="false" customHeight="false" outlineLevel="0" collapsed="false">
      <c r="B35" s="10" t="s">
        <v>59</v>
      </c>
      <c r="C35" s="10" t="s">
        <v>122</v>
      </c>
      <c r="D35" s="10" t="s">
        <v>23</v>
      </c>
      <c r="F35" s="10" t="s">
        <v>52</v>
      </c>
    </row>
    <row r="36" customFormat="false" ht="15.75" hidden="false" customHeight="false" outlineLevel="0" collapsed="false">
      <c r="C36" s="10" t="s">
        <v>119</v>
      </c>
      <c r="D36" s="10" t="n">
        <v>12</v>
      </c>
      <c r="E36" s="10" t="s">
        <v>37</v>
      </c>
      <c r="F36" s="10" t="s">
        <v>41</v>
      </c>
    </row>
    <row r="37" customFormat="false" ht="15.75" hidden="false" customHeight="false" outlineLevel="0" collapsed="false">
      <c r="D37" s="10" t="n">
        <v>13</v>
      </c>
      <c r="F37" s="10" t="s">
        <v>56</v>
      </c>
    </row>
    <row r="38" customFormat="false" ht="15.75" hidden="false" customHeight="false" outlineLevel="0" collapsed="false">
      <c r="B38" s="10" t="s">
        <v>23</v>
      </c>
      <c r="C38" s="10" t="s">
        <v>125</v>
      </c>
      <c r="D38" s="10" t="n">
        <v>12</v>
      </c>
      <c r="F38" s="10" t="s">
        <v>144</v>
      </c>
    </row>
    <row r="39" customFormat="false" ht="15.75" hidden="false" customHeight="false" outlineLevel="0" collapsed="false">
      <c r="D39" s="10" t="n">
        <v>17</v>
      </c>
      <c r="E39" s="10" t="s">
        <v>17</v>
      </c>
      <c r="F39" s="10" t="s">
        <v>145</v>
      </c>
    </row>
    <row r="40" customFormat="false" ht="15.75" hidden="false" customHeight="false" outlineLevel="0" collapsed="false">
      <c r="D40" s="12" t="s">
        <v>146</v>
      </c>
      <c r="F40" s="10" t="s">
        <v>147</v>
      </c>
    </row>
    <row r="41" customFormat="false" ht="15.75" hidden="false" customHeight="false" outlineLevel="0" collapsed="false">
      <c r="A41" s="11" t="n">
        <v>45615</v>
      </c>
      <c r="B41" s="10" t="s">
        <v>148</v>
      </c>
      <c r="C41" s="10" t="s">
        <v>116</v>
      </c>
      <c r="D41" s="10" t="n">
        <v>14</v>
      </c>
      <c r="F41" s="10" t="s">
        <v>22</v>
      </c>
    </row>
    <row r="42" customFormat="false" ht="15.75" hidden="false" customHeight="false" outlineLevel="0" collapsed="false">
      <c r="B42" s="10" t="s">
        <v>148</v>
      </c>
      <c r="C42" s="10" t="s">
        <v>130</v>
      </c>
      <c r="D42" s="10" t="n">
        <v>10</v>
      </c>
      <c r="F42" s="10" t="s">
        <v>22</v>
      </c>
    </row>
    <row r="43" customFormat="false" ht="15.75" hidden="false" customHeight="false" outlineLevel="0" collapsed="false">
      <c r="B43" s="10" t="s">
        <v>148</v>
      </c>
      <c r="C43" s="10" t="s">
        <v>119</v>
      </c>
      <c r="D43" s="10" t="n">
        <v>14</v>
      </c>
      <c r="E43" s="10" t="s">
        <v>17</v>
      </c>
      <c r="F43" s="10" t="s">
        <v>22</v>
      </c>
    </row>
    <row r="44" customFormat="false" ht="15.75" hidden="false" customHeight="false" outlineLevel="0" collapsed="false">
      <c r="B44" s="10" t="s">
        <v>60</v>
      </c>
      <c r="C44" s="10" t="s">
        <v>122</v>
      </c>
      <c r="D44" s="10" t="n">
        <v>1</v>
      </c>
      <c r="F44" s="10" t="s">
        <v>22</v>
      </c>
    </row>
    <row r="45" customFormat="false" ht="15.75" hidden="false" customHeight="false" outlineLevel="0" collapsed="false">
      <c r="E45" s="10" t="s">
        <v>70</v>
      </c>
      <c r="F45" s="10" t="s">
        <v>149</v>
      </c>
    </row>
    <row r="46" customFormat="false" ht="15.75" hidden="false" customHeight="false" outlineLevel="0" collapsed="false">
      <c r="B46" s="10" t="s">
        <v>59</v>
      </c>
      <c r="C46" s="10" t="s">
        <v>125</v>
      </c>
      <c r="D46" s="10" t="n">
        <v>16</v>
      </c>
      <c r="F46" s="10" t="s">
        <v>56</v>
      </c>
    </row>
    <row r="47" customFormat="false" ht="15.75" hidden="false" customHeight="false" outlineLevel="0" collapsed="false">
      <c r="F47" s="10" t="s">
        <v>150</v>
      </c>
    </row>
    <row r="48" customFormat="false" ht="15.75" hidden="false" customHeight="false" outlineLevel="0" collapsed="false">
      <c r="D48" s="10" t="n">
        <v>20</v>
      </c>
      <c r="F48" s="10" t="s">
        <v>151</v>
      </c>
    </row>
    <row r="49" customFormat="false" ht="15.75" hidden="false" customHeight="false" outlineLevel="0" collapsed="false">
      <c r="B49" s="10" t="s">
        <v>59</v>
      </c>
      <c r="D49" s="10" t="n">
        <v>9</v>
      </c>
      <c r="F49" s="10" t="s">
        <v>152</v>
      </c>
    </row>
    <row r="50" customFormat="false" ht="15.75" hidden="false" customHeight="false" outlineLevel="0" collapsed="false">
      <c r="A50" s="11" t="n">
        <v>45616</v>
      </c>
      <c r="B50" s="10" t="s">
        <v>60</v>
      </c>
      <c r="C50" s="10" t="s">
        <v>153</v>
      </c>
      <c r="D50" s="10" t="n">
        <v>1</v>
      </c>
      <c r="F50" s="10" t="s">
        <v>154</v>
      </c>
    </row>
    <row r="51" customFormat="false" ht="15.75" hidden="false" customHeight="false" outlineLevel="0" collapsed="false">
      <c r="B51" s="10" t="s">
        <v>60</v>
      </c>
      <c r="C51" s="10" t="s">
        <v>116</v>
      </c>
      <c r="D51" s="10" t="n">
        <v>1</v>
      </c>
      <c r="F51" s="10" t="s">
        <v>155</v>
      </c>
    </row>
    <row r="52" customFormat="false" ht="15.75" hidden="false" customHeight="false" outlineLevel="0" collapsed="false">
      <c r="B52" s="10" t="s">
        <v>148</v>
      </c>
      <c r="C52" s="10" t="s">
        <v>117</v>
      </c>
      <c r="D52" s="10" t="n">
        <v>5</v>
      </c>
      <c r="F52" s="10" t="s">
        <v>156</v>
      </c>
    </row>
    <row r="53" customFormat="false" ht="15.75" hidden="false" customHeight="false" outlineLevel="0" collapsed="false">
      <c r="D53" s="10" t="n">
        <v>6</v>
      </c>
      <c r="E53" s="10" t="s">
        <v>37</v>
      </c>
      <c r="F53" s="10" t="s">
        <v>23</v>
      </c>
    </row>
    <row r="54" customFormat="false" ht="15.75" hidden="false" customHeight="false" outlineLevel="0" collapsed="false">
      <c r="D54" s="10" t="n">
        <v>7</v>
      </c>
      <c r="F54" s="10" t="s">
        <v>23</v>
      </c>
    </row>
    <row r="55" customFormat="false" ht="15.75" hidden="false" customHeight="false" outlineLevel="0" collapsed="false">
      <c r="D55" s="10" t="n">
        <v>8</v>
      </c>
      <c r="F55" s="10" t="s">
        <v>157</v>
      </c>
    </row>
    <row r="56" customFormat="false" ht="15.75" hidden="false" customHeight="false" outlineLevel="0" collapsed="false">
      <c r="B56" s="10" t="s">
        <v>60</v>
      </c>
      <c r="C56" s="10" t="s">
        <v>158</v>
      </c>
      <c r="F56" s="10" t="s">
        <v>159</v>
      </c>
    </row>
    <row r="57" customFormat="false" ht="15.75" hidden="false" customHeight="false" outlineLevel="0" collapsed="false">
      <c r="B57" s="10" t="s">
        <v>60</v>
      </c>
      <c r="C57" s="10" t="s">
        <v>125</v>
      </c>
      <c r="F57" s="10" t="s">
        <v>160</v>
      </c>
    </row>
    <row r="58" customFormat="false" ht="15.75" hidden="false" customHeight="false" outlineLevel="0" collapsed="false">
      <c r="A58" s="11" t="n">
        <v>45617</v>
      </c>
      <c r="B58" s="10" t="s">
        <v>84</v>
      </c>
      <c r="C58" s="10" t="s">
        <v>153</v>
      </c>
      <c r="F58" s="10" t="s">
        <v>161</v>
      </c>
    </row>
    <row r="59" customFormat="false" ht="15.75" hidden="false" customHeight="false" outlineLevel="0" collapsed="false">
      <c r="B59" s="10" t="s">
        <v>60</v>
      </c>
      <c r="C59" s="10" t="s">
        <v>115</v>
      </c>
      <c r="D59" s="10" t="n">
        <v>12</v>
      </c>
      <c r="F59" s="10" t="s">
        <v>22</v>
      </c>
    </row>
    <row r="60" customFormat="false" ht="15.75" hidden="false" customHeight="false" outlineLevel="0" collapsed="false">
      <c r="B60" s="10" t="s">
        <v>75</v>
      </c>
      <c r="C60" s="10" t="s">
        <v>130</v>
      </c>
      <c r="F60" s="10" t="s">
        <v>162</v>
      </c>
    </row>
    <row r="61" customFormat="false" ht="15.75" hidden="false" customHeight="false" outlineLevel="0" collapsed="false">
      <c r="D61" s="10" t="n">
        <v>12</v>
      </c>
      <c r="E61" s="10" t="s">
        <v>37</v>
      </c>
      <c r="F61" s="10" t="s">
        <v>163</v>
      </c>
    </row>
    <row r="62" customFormat="false" ht="15.75" hidden="false" customHeight="false" outlineLevel="0" collapsed="false">
      <c r="B62" s="10" t="s">
        <v>23</v>
      </c>
      <c r="C62" s="10" t="s">
        <v>122</v>
      </c>
      <c r="D62" s="10" t="n">
        <v>8</v>
      </c>
      <c r="E62" s="10" t="s">
        <v>17</v>
      </c>
      <c r="F62" s="10" t="s">
        <v>164</v>
      </c>
    </row>
    <row r="63" customFormat="false" ht="15.75" hidden="false" customHeight="false" outlineLevel="0" collapsed="false">
      <c r="D63" s="10" t="n">
        <v>10</v>
      </c>
      <c r="F63" s="10" t="s">
        <v>150</v>
      </c>
    </row>
    <row r="64" customFormat="false" ht="15.75" hidden="false" customHeight="false" outlineLevel="0" collapsed="false">
      <c r="B64" s="10" t="s">
        <v>84</v>
      </c>
      <c r="C64" s="10" t="s">
        <v>119</v>
      </c>
      <c r="F64" s="10" t="s">
        <v>165</v>
      </c>
    </row>
    <row r="65" customFormat="false" ht="15.75" hidden="false" customHeight="false" outlineLevel="0" collapsed="false">
      <c r="A65" s="11" t="n">
        <v>45618</v>
      </c>
      <c r="B65" s="10" t="s">
        <v>84</v>
      </c>
      <c r="C65" s="10" t="s">
        <v>137</v>
      </c>
      <c r="F65" s="10" t="s">
        <v>166</v>
      </c>
    </row>
    <row r="66" customFormat="false" ht="15.75" hidden="false" customHeight="false" outlineLevel="0" collapsed="false">
      <c r="B66" s="10" t="s">
        <v>75</v>
      </c>
      <c r="C66" s="10" t="s">
        <v>137</v>
      </c>
      <c r="D66" s="10" t="n">
        <v>5</v>
      </c>
      <c r="E66" s="10" t="s">
        <v>37</v>
      </c>
      <c r="F66" s="10" t="s">
        <v>167</v>
      </c>
    </row>
    <row r="67" customFormat="false" ht="15.75" hidden="false" customHeight="false" outlineLevel="0" collapsed="false">
      <c r="A67" s="11" t="n">
        <v>45619</v>
      </c>
      <c r="F67" s="10" t="s">
        <v>168</v>
      </c>
    </row>
    <row r="68" customFormat="false" ht="15.75" hidden="false" customHeight="false" outlineLevel="0" collapsed="false">
      <c r="A68" s="11" t="n">
        <v>45619</v>
      </c>
      <c r="B68" s="10" t="s">
        <v>75</v>
      </c>
      <c r="C68" s="10" t="s">
        <v>117</v>
      </c>
      <c r="D68" s="10" t="n">
        <v>11</v>
      </c>
      <c r="F68" s="10" t="s">
        <v>56</v>
      </c>
    </row>
    <row r="69" customFormat="false" ht="15.75" hidden="false" customHeight="false" outlineLevel="0" collapsed="false">
      <c r="B69" s="10" t="s">
        <v>75</v>
      </c>
      <c r="C69" s="10" t="s">
        <v>127</v>
      </c>
      <c r="D69" s="10" t="n">
        <v>6</v>
      </c>
      <c r="E69" s="10" t="s">
        <v>37</v>
      </c>
      <c r="F69" s="10" t="s">
        <v>41</v>
      </c>
    </row>
    <row r="70" customFormat="false" ht="15.75" hidden="false" customHeight="false" outlineLevel="0" collapsed="false">
      <c r="F70" s="10" t="s">
        <v>169</v>
      </c>
    </row>
    <row r="71" customFormat="false" ht="15.75" hidden="false" customHeight="false" outlineLevel="0" collapsed="false">
      <c r="A71" s="11" t="n">
        <v>45620</v>
      </c>
      <c r="B71" s="10" t="s">
        <v>73</v>
      </c>
      <c r="C71" s="10" t="s">
        <v>115</v>
      </c>
      <c r="F71" s="10" t="s">
        <v>170</v>
      </c>
    </row>
    <row r="72" customFormat="false" ht="15.75" hidden="false" customHeight="false" outlineLevel="0" collapsed="false">
      <c r="B72" s="10" t="s">
        <v>100</v>
      </c>
      <c r="C72" s="10" t="s">
        <v>158</v>
      </c>
      <c r="F72" s="10" t="s">
        <v>171</v>
      </c>
    </row>
    <row r="73" customFormat="false" ht="15.75" hidden="false" customHeight="false" outlineLevel="0" collapsed="false">
      <c r="A73" s="11" t="n">
        <v>45621</v>
      </c>
      <c r="B73" s="10" t="s">
        <v>100</v>
      </c>
      <c r="C73" s="10" t="s">
        <v>130</v>
      </c>
      <c r="D73" s="10" t="n">
        <v>1</v>
      </c>
      <c r="F73" s="10" t="s">
        <v>172</v>
      </c>
    </row>
    <row r="74" customFormat="false" ht="15.75" hidden="false" customHeight="false" outlineLevel="0" collapsed="false">
      <c r="D74" s="10" t="n">
        <v>7</v>
      </c>
      <c r="F74" s="10" t="s">
        <v>173</v>
      </c>
    </row>
    <row r="75" customFormat="false" ht="15.75" hidden="false" customHeight="false" outlineLevel="0" collapsed="false">
      <c r="D75" s="10" t="n">
        <v>8</v>
      </c>
      <c r="F75" s="10" t="s">
        <v>151</v>
      </c>
    </row>
    <row r="76" customFormat="false" ht="15.75" hidden="false" customHeight="false" outlineLevel="0" collapsed="false">
      <c r="D76" s="10" t="n">
        <v>14</v>
      </c>
      <c r="E76" s="10" t="s">
        <v>112</v>
      </c>
      <c r="F76" s="10" t="s">
        <v>174</v>
      </c>
    </row>
    <row r="77" customFormat="false" ht="15.75" hidden="false" customHeight="false" outlineLevel="0" collapsed="false">
      <c r="D77" s="10" t="n">
        <v>15</v>
      </c>
      <c r="F77" s="10" t="s">
        <v>56</v>
      </c>
    </row>
    <row r="78" customFormat="false" ht="15.75" hidden="false" customHeight="false" outlineLevel="0" collapsed="false">
      <c r="B78" s="10" t="s">
        <v>100</v>
      </c>
      <c r="C78" s="10" t="s">
        <v>122</v>
      </c>
      <c r="E78" s="10" t="s">
        <v>70</v>
      </c>
      <c r="F78" s="10" t="s">
        <v>175</v>
      </c>
    </row>
    <row r="79" customFormat="false" ht="15.75" hidden="false" customHeight="false" outlineLevel="0" collapsed="false">
      <c r="D79" s="10" t="n">
        <v>11</v>
      </c>
      <c r="F79" s="10" t="s">
        <v>176</v>
      </c>
    </row>
    <row r="80" customFormat="false" ht="15.75" hidden="false" customHeight="false" outlineLevel="0" collapsed="false">
      <c r="B80" s="10" t="s">
        <v>177</v>
      </c>
      <c r="C80" s="10" t="s">
        <v>158</v>
      </c>
      <c r="D80" s="10" t="n">
        <v>22</v>
      </c>
      <c r="F80" s="10" t="s">
        <v>178</v>
      </c>
    </row>
    <row r="81" customFormat="false" ht="15.75" hidden="false" customHeight="false" outlineLevel="0" collapsed="false">
      <c r="A81" s="11" t="n">
        <v>45622</v>
      </c>
      <c r="B81" s="10" t="s">
        <v>100</v>
      </c>
      <c r="C81" s="10" t="s">
        <v>137</v>
      </c>
      <c r="F81" s="10" t="s">
        <v>179</v>
      </c>
    </row>
    <row r="82" customFormat="false" ht="15.75" hidden="false" customHeight="false" outlineLevel="0" collapsed="false">
      <c r="B82" s="10" t="s">
        <v>180</v>
      </c>
      <c r="C82" s="10" t="s">
        <v>116</v>
      </c>
      <c r="F82" s="10" t="s">
        <v>181</v>
      </c>
    </row>
    <row r="83" customFormat="false" ht="15.75" hidden="false" customHeight="false" outlineLevel="0" collapsed="false">
      <c r="B83" s="10" t="s">
        <v>103</v>
      </c>
      <c r="C83" s="10" t="s">
        <v>130</v>
      </c>
      <c r="D83" s="10" t="n">
        <v>2</v>
      </c>
      <c r="F83" s="10" t="s">
        <v>22</v>
      </c>
    </row>
    <row r="84" customFormat="false" ht="15.75" hidden="false" customHeight="false" outlineLevel="0" collapsed="false">
      <c r="D84" s="10" t="n">
        <v>4</v>
      </c>
      <c r="F84" s="10" t="s">
        <v>182</v>
      </c>
    </row>
    <row r="85" customFormat="false" ht="15.75" hidden="false" customHeight="false" outlineLevel="0" collapsed="false">
      <c r="B85" s="10" t="s">
        <v>103</v>
      </c>
      <c r="C85" s="10" t="s">
        <v>122</v>
      </c>
      <c r="F85" s="10" t="s">
        <v>183</v>
      </c>
    </row>
    <row r="86" customFormat="false" ht="15.75" hidden="false" customHeight="false" outlineLevel="0" collapsed="false">
      <c r="A86" s="11" t="n">
        <v>45623</v>
      </c>
      <c r="B86" s="10" t="s">
        <v>103</v>
      </c>
      <c r="C86" s="10" t="s">
        <v>153</v>
      </c>
      <c r="D86" s="10" t="n">
        <v>2</v>
      </c>
      <c r="E86" s="10" t="s">
        <v>37</v>
      </c>
      <c r="F86" s="10" t="s">
        <v>184</v>
      </c>
    </row>
    <row r="87" customFormat="false" ht="15.75" hidden="false" customHeight="false" outlineLevel="0" collapsed="false">
      <c r="D87" s="10" t="n">
        <v>3</v>
      </c>
      <c r="E87" s="10" t="s">
        <v>70</v>
      </c>
      <c r="F87" s="10" t="s">
        <v>185</v>
      </c>
    </row>
    <row r="88" customFormat="false" ht="15.75" hidden="false" customHeight="false" outlineLevel="0" collapsed="false">
      <c r="B88" s="10" t="s">
        <v>110</v>
      </c>
      <c r="C88" s="10" t="s">
        <v>137</v>
      </c>
      <c r="F88" s="10" t="s">
        <v>186</v>
      </c>
    </row>
    <row r="89" customFormat="false" ht="15.75" hidden="false" customHeight="false" outlineLevel="0" collapsed="false">
      <c r="B89" s="10" t="s">
        <v>103</v>
      </c>
      <c r="C89" s="10" t="s">
        <v>137</v>
      </c>
      <c r="D89" s="10" t="n">
        <v>3</v>
      </c>
      <c r="E89" s="10" t="s">
        <v>70</v>
      </c>
      <c r="F89" s="10" t="s">
        <v>184</v>
      </c>
    </row>
    <row r="90" customFormat="false" ht="15.75" hidden="false" customHeight="false" outlineLevel="0" collapsed="false">
      <c r="D90" s="10" t="n">
        <v>7</v>
      </c>
      <c r="E90" s="10" t="s">
        <v>72</v>
      </c>
      <c r="F90" s="10" t="s">
        <v>19</v>
      </c>
    </row>
    <row r="91" customFormat="false" ht="15.75" hidden="false" customHeight="false" outlineLevel="0" collapsed="false">
      <c r="D91" s="10" t="n">
        <v>13</v>
      </c>
      <c r="E91" s="10" t="s">
        <v>112</v>
      </c>
      <c r="F91" s="10" t="s">
        <v>187</v>
      </c>
    </row>
    <row r="92" customFormat="false" ht="15.75" hidden="false" customHeight="false" outlineLevel="0" collapsed="false">
      <c r="B92" s="10" t="s">
        <v>23</v>
      </c>
      <c r="C92" s="10" t="s">
        <v>116</v>
      </c>
      <c r="D92" s="10" t="n">
        <v>2</v>
      </c>
      <c r="E92" s="10" t="s">
        <v>37</v>
      </c>
      <c r="F92" s="10" t="s">
        <v>41</v>
      </c>
    </row>
    <row r="93" customFormat="false" ht="15.75" hidden="false" customHeight="false" outlineLevel="0" collapsed="false">
      <c r="D93" s="10" t="n">
        <v>3</v>
      </c>
      <c r="E93" s="10" t="s">
        <v>70</v>
      </c>
      <c r="F93" s="10" t="s">
        <v>19</v>
      </c>
    </row>
    <row r="94" customFormat="false" ht="15.75" hidden="false" customHeight="false" outlineLevel="0" collapsed="false">
      <c r="E94" s="10" t="s">
        <v>72</v>
      </c>
      <c r="F94" s="10" t="s">
        <v>188</v>
      </c>
    </row>
    <row r="95" customFormat="false" ht="15.75" hidden="false" customHeight="false" outlineLevel="0" collapsed="false">
      <c r="E95" s="10" t="s">
        <v>112</v>
      </c>
      <c r="F95" s="10" t="s">
        <v>188</v>
      </c>
    </row>
    <row r="96" customFormat="false" ht="15.75" hidden="false" customHeight="false" outlineLevel="0" collapsed="false">
      <c r="D96" s="10" t="n">
        <v>5</v>
      </c>
      <c r="F96" s="10" t="s">
        <v>189</v>
      </c>
    </row>
    <row r="97" customFormat="false" ht="15.75" hidden="false" customHeight="false" outlineLevel="0" collapsed="false">
      <c r="B97" s="10" t="s">
        <v>100</v>
      </c>
      <c r="C97" s="10" t="s">
        <v>117</v>
      </c>
      <c r="D97" s="10" t="n">
        <v>1</v>
      </c>
      <c r="E97" s="10" t="s">
        <v>17</v>
      </c>
      <c r="F97" s="10" t="s">
        <v>22</v>
      </c>
    </row>
    <row r="98" customFormat="false" ht="15.75" hidden="false" customHeight="false" outlineLevel="0" collapsed="false">
      <c r="D98" s="10" t="n">
        <v>3</v>
      </c>
      <c r="E98" s="10" t="s">
        <v>17</v>
      </c>
      <c r="F98" s="10" t="s">
        <v>22</v>
      </c>
    </row>
    <row r="99" customFormat="false" ht="15.75" hidden="false" customHeight="false" outlineLevel="0" collapsed="false">
      <c r="D99" s="10" t="n">
        <v>5</v>
      </c>
      <c r="E99" s="10" t="s">
        <v>70</v>
      </c>
      <c r="F99" s="10" t="s">
        <v>22</v>
      </c>
    </row>
    <row r="100" customFormat="false" ht="15.75" hidden="false" customHeight="false" outlineLevel="0" collapsed="false">
      <c r="E100" s="10" t="s">
        <v>72</v>
      </c>
      <c r="F100" s="10" t="s">
        <v>22</v>
      </c>
    </row>
    <row r="101" customFormat="false" ht="15.75" hidden="false" customHeight="false" outlineLevel="0" collapsed="false">
      <c r="B101" s="10" t="s">
        <v>100</v>
      </c>
      <c r="C101" s="10" t="s">
        <v>119</v>
      </c>
      <c r="D101" s="10" t="n">
        <v>1</v>
      </c>
      <c r="F101" s="10" t="s">
        <v>22</v>
      </c>
    </row>
    <row r="102" customFormat="false" ht="15.75" hidden="false" customHeight="false" outlineLevel="0" collapsed="false">
      <c r="F102" s="10" t="s">
        <v>172</v>
      </c>
    </row>
    <row r="103" customFormat="false" ht="15.75" hidden="false" customHeight="false" outlineLevel="0" collapsed="false">
      <c r="D103" s="10" t="n">
        <v>12</v>
      </c>
      <c r="F103" s="10" t="s">
        <v>170</v>
      </c>
    </row>
    <row r="104" customFormat="false" ht="15.75" hidden="false" customHeight="false" outlineLevel="0" collapsed="false">
      <c r="A104" s="11" t="n">
        <v>45624</v>
      </c>
      <c r="B104" s="10" t="s">
        <v>103</v>
      </c>
      <c r="C104" s="10" t="s">
        <v>119</v>
      </c>
      <c r="D104" s="10" t="n">
        <v>9</v>
      </c>
      <c r="E104" s="10" t="s">
        <v>17</v>
      </c>
      <c r="F104" s="10" t="s">
        <v>172</v>
      </c>
    </row>
    <row r="105" customFormat="false" ht="15.75" hidden="false" customHeight="false" outlineLevel="0" collapsed="false">
      <c r="D105" s="10" t="n">
        <v>10</v>
      </c>
      <c r="E105" s="10" t="s">
        <v>37</v>
      </c>
      <c r="F105" s="10" t="s">
        <v>172</v>
      </c>
    </row>
    <row r="106" customFormat="false" ht="15.75" hidden="false" customHeight="false" outlineLevel="0" collapsed="false">
      <c r="F106" s="10" t="s">
        <v>190</v>
      </c>
    </row>
    <row r="107" customFormat="false" ht="15.75" hidden="false" customHeight="false" outlineLevel="0" collapsed="false">
      <c r="D107" s="10" t="n">
        <v>12</v>
      </c>
      <c r="F107" s="10" t="s">
        <v>191</v>
      </c>
    </row>
    <row r="108" customFormat="false" ht="15.75" hidden="false" customHeight="false" outlineLevel="0" collapsed="false">
      <c r="D108" s="10" t="n">
        <v>13</v>
      </c>
      <c r="F108" s="10" t="s">
        <v>192</v>
      </c>
    </row>
    <row r="109" customFormat="false" ht="15.75" hidden="false" customHeight="false" outlineLevel="0" collapsed="false">
      <c r="D109" s="10" t="n">
        <v>14</v>
      </c>
      <c r="E109" s="10" t="s">
        <v>112</v>
      </c>
      <c r="F109" s="10" t="s">
        <v>193</v>
      </c>
    </row>
    <row r="110" customFormat="false" ht="15.75" hidden="false" customHeight="false" outlineLevel="0" collapsed="false">
      <c r="D110" s="10" t="n">
        <v>15</v>
      </c>
      <c r="E110" s="10" t="s">
        <v>17</v>
      </c>
      <c r="F110" s="10" t="s">
        <v>193</v>
      </c>
    </row>
    <row r="111" customFormat="false" ht="15.75" hidden="false" customHeight="false" outlineLevel="0" collapsed="false">
      <c r="D111" s="10" t="n">
        <v>16</v>
      </c>
      <c r="F111" s="10" t="s">
        <v>194</v>
      </c>
    </row>
    <row r="112" customFormat="false" ht="15.75" hidden="false" customHeight="false" outlineLevel="0" collapsed="false">
      <c r="F112" s="10" t="s">
        <v>195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2024-05-16T00:29:53Z</dcterms:created>
  <dc:creator>Henshall, Cathrynne</dc:creator>
  <dc:description/>
  <dc:language>en-AU</dc:language>
  <cp:lastModifiedBy/>
  <dcterms:modified xsi:type="dcterms:W3CDTF">2024-06-12T17:06:59Z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