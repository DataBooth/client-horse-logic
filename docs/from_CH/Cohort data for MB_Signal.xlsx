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lydale/Sync/HKJC/Experimental design/Exp 1 DATA/"/>
    </mc:Choice>
  </mc:AlternateContent>
  <xr:revisionPtr revIDLastSave="0" documentId="13_ncr:1_{D1987657-EDCD-3741-B025-1A6EC0D9C11B}" xr6:coauthVersionLast="47" xr6:coauthVersionMax="47" xr10:uidLastSave="{00000000-0000-0000-0000-000000000000}"/>
  <bookViews>
    <workbookView xWindow="1900" yWindow="760" windowWidth="27240" windowHeight="16440" activeTab="4" xr2:uid="{B843BE0D-A04F-2D45-8EA9-94E5BF751EDC}"/>
  </bookViews>
  <sheets>
    <sheet name="Cohort" sheetId="1" r:id="rId1"/>
    <sheet name="SampleData" sheetId="2" r:id="rId2"/>
    <sheet name="Pivot" sheetId="3" r:id="rId3"/>
    <sheet name="Sheet4" sheetId="7" r:id="rId4"/>
    <sheet name="CB" sheetId="4" r:id="rId5"/>
    <sheet name="CBPivot" sheetId="5" r:id="rId6"/>
  </sheets>
  <calcPr calcId="191029"/>
  <pivotCaches>
    <pivotCache cacheId="11" r:id="rId7"/>
    <pivotCache cacheId="1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4" l="1"/>
  <c r="K11" i="4"/>
  <c r="K9" i="4"/>
  <c r="K8" i="4"/>
  <c r="K7" i="4"/>
  <c r="K6" i="4"/>
  <c r="K5" i="4"/>
  <c r="K4" i="4"/>
  <c r="K13" i="4"/>
  <c r="K10" i="4"/>
  <c r="M19" i="4"/>
  <c r="M23" i="4"/>
  <c r="M22" i="4"/>
  <c r="M21" i="4"/>
  <c r="M20" i="4"/>
  <c r="L23" i="4"/>
  <c r="L22" i="4"/>
  <c r="L21" i="4"/>
  <c r="L20" i="4"/>
  <c r="L19" i="4"/>
  <c r="K19" i="4"/>
  <c r="K23" i="4"/>
  <c r="K22" i="4"/>
  <c r="K21" i="4"/>
  <c r="K20" i="4"/>
  <c r="J4" i="2"/>
  <c r="J8" i="2"/>
  <c r="J7" i="2"/>
  <c r="J6" i="2"/>
  <c r="J5" i="2"/>
</calcChain>
</file>

<file path=xl/sharedStrings.xml><?xml version="1.0" encoding="utf-8"?>
<sst xmlns="http://schemas.openxmlformats.org/spreadsheetml/2006/main" count="499" uniqueCount="100">
  <si>
    <t>HD</t>
  </si>
  <si>
    <t>Cohort</t>
  </si>
  <si>
    <t>No</t>
  </si>
  <si>
    <t>Horse</t>
  </si>
  <si>
    <t>CSU</t>
  </si>
  <si>
    <t>Atom</t>
  </si>
  <si>
    <t>Ash</t>
  </si>
  <si>
    <t>Mowgli</t>
  </si>
  <si>
    <t>Teddy</t>
  </si>
  <si>
    <t>Dodge</t>
  </si>
  <si>
    <t>Filly</t>
  </si>
  <si>
    <t>Dougie</t>
  </si>
  <si>
    <t>Bonnie</t>
  </si>
  <si>
    <t>Apollo</t>
  </si>
  <si>
    <t>Molly</t>
  </si>
  <si>
    <t>Jelly</t>
  </si>
  <si>
    <t>Smudge</t>
  </si>
  <si>
    <t>George</t>
  </si>
  <si>
    <t>Myrtle</t>
  </si>
  <si>
    <t>Yoshi</t>
  </si>
  <si>
    <t>Nix</t>
  </si>
  <si>
    <t>Gio</t>
  </si>
  <si>
    <t>Dusty</t>
  </si>
  <si>
    <t>Freya</t>
  </si>
  <si>
    <t>Olive</t>
  </si>
  <si>
    <t>Pumba</t>
  </si>
  <si>
    <t>Clover</t>
  </si>
  <si>
    <t>HorseNo</t>
  </si>
  <si>
    <t>Session type</t>
  </si>
  <si>
    <t>Session#</t>
  </si>
  <si>
    <t>Trial#</t>
  </si>
  <si>
    <t>Latency criterion (0/1)</t>
  </si>
  <si>
    <t>RPA</t>
  </si>
  <si>
    <t>latency(s)</t>
  </si>
  <si>
    <t>RPH</t>
  </si>
  <si>
    <t>Timeout (0/1)</t>
  </si>
  <si>
    <t>RPE</t>
  </si>
  <si>
    <t>RPER</t>
  </si>
  <si>
    <t>RPR</t>
  </si>
  <si>
    <t>AvRPA</t>
  </si>
  <si>
    <t>AvRPH</t>
  </si>
  <si>
    <t>AvRPE</t>
  </si>
  <si>
    <t>AvRPER</t>
  </si>
  <si>
    <t>AVRPR</t>
  </si>
  <si>
    <t>Row Labels</t>
  </si>
  <si>
    <t>(blank)</t>
  </si>
  <si>
    <t>Grand Total</t>
  </si>
  <si>
    <t>Column Labels</t>
  </si>
  <si>
    <t>Average of latency(s)</t>
  </si>
  <si>
    <t>CBF1</t>
  </si>
  <si>
    <t>CBF2</t>
  </si>
  <si>
    <t>CBF3</t>
  </si>
  <si>
    <t>CBR1</t>
  </si>
  <si>
    <t>CBT1</t>
  </si>
  <si>
    <t>CBR2</t>
  </si>
  <si>
    <t>CBT2</t>
  </si>
  <si>
    <t>CBT3</t>
  </si>
  <si>
    <t>CBT4</t>
  </si>
  <si>
    <t>Trialtype</t>
  </si>
  <si>
    <t>P</t>
  </si>
  <si>
    <t>N</t>
  </si>
  <si>
    <t>M</t>
  </si>
  <si>
    <t>NP</t>
  </si>
  <si>
    <t>NN</t>
  </si>
  <si>
    <t>CBR3</t>
  </si>
  <si>
    <t>GO (1)/NOGO (0)</t>
  </si>
  <si>
    <t>AvlatencyP</t>
  </si>
  <si>
    <t>AvlatencyN</t>
  </si>
  <si>
    <t>AvlatencyM</t>
  </si>
  <si>
    <t>AvlatencyNP</t>
  </si>
  <si>
    <t>AvlatencyNN</t>
  </si>
  <si>
    <t>CountGOpos</t>
  </si>
  <si>
    <t>CountNOGOpos</t>
  </si>
  <si>
    <t>CountGOneg</t>
  </si>
  <si>
    <t>CountNOGOneg</t>
  </si>
  <si>
    <t>Total Sum of GO (1)/NOGO (0)</t>
  </si>
  <si>
    <t>Sum of GO (1)/NOGO (0)</t>
  </si>
  <si>
    <t>Total Sum of Latency criterion (0/1)</t>
  </si>
  <si>
    <t>Sum of Latency criterion (0/1)</t>
  </si>
  <si>
    <t>Total Average of latency(s)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</si>
  <si>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</si>
  <si>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</si>
  <si>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</si>
  <si>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</si>
  <si>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</si>
  <si>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</si>
  <si>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</si>
  <si>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</si>
  <si>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</si>
  <si>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</si>
  <si>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</si>
  <si>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</si>
  <si>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</si>
  <si>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</si>
  <si>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CountGOmed</t>
  </si>
  <si>
    <t>CountNOGOmed</t>
  </si>
  <si>
    <t>CountGOnpos</t>
  </si>
  <si>
    <t>CountNOGOnpo</t>
  </si>
  <si>
    <t>CountGOnneg</t>
  </si>
  <si>
    <t>CountNOGOnneg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</si>
</sst>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2" fontId="1" fillId="0" borderId="0" xfId="0" applyNumberFormat="1" applyFont="1"/>
    <xf numFmtId="0" fontId="3" fillId="0" borderId="0" xfId="0" applyFont="1"/>
    <xf numFmtId="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 Latency by sesion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SampleData!$I$4:$I$8</c:f>
              <c:strCache>
                <c:ptCount val="5"/>
                <c:pt idx="0">
                  <c:v>AvRPA</c:v>
                </c:pt>
                <c:pt idx="1">
                  <c:v>AvRPH</c:v>
                </c:pt>
                <c:pt idx="2">
                  <c:v>AvRPE</c:v>
                </c:pt>
                <c:pt idx="3">
                  <c:v>AvRPER</c:v>
                </c:pt>
                <c:pt idx="4">
                  <c:v>AVRPR</c:v>
                </c:pt>
              </c:strCache>
            </c:strRef>
          </c:cat>
          <c:val>
            <c:numRef>
              <c:f>SampleData!$J$4:$J$8</c:f>
              <c:numCache>
                <c:formatCode>General</c:formatCode>
                <c:ptCount val="5"/>
                <c:pt idx="0">
                  <c:v>25.452666666666666</c:v>
                </c:pt>
                <c:pt idx="1">
                  <c:v>4.4555555555555548</c:v>
                </c:pt>
                <c:pt idx="2">
                  <c:v>13.200000000000001</c:v>
                </c:pt>
                <c:pt idx="3">
                  <c:v>20</c:v>
                </c:pt>
                <c:pt idx="4">
                  <c:v>2.0418333333333329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E-EB45-8E1B-D57014B26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6597712"/>
        <c:axId val="376094032"/>
      </c:barChart>
      <c:catAx>
        <c:axId val="416597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Session 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94032"/>
        <c:crosses val="autoZero"/>
        <c:auto val="1"/>
        <c:lblAlgn val="ctr"/>
        <c:lblOffset val="100"/>
        <c:noMultiLvlLbl val="0"/>
      </c:catAx>
      <c:valAx>
        <c:axId val="37609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Latency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59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Mean Latency (s)</a:t>
            </a:r>
            <a:r>
              <a:rPr lang="en-GB" baseline="0"/>
              <a:t> by trial type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CB!$J$19:$J$23</c:f>
              <c:strCache>
                <c:ptCount val="5"/>
                <c:pt idx="0">
                  <c:v>AvlatencyP</c:v>
                </c:pt>
                <c:pt idx="1">
                  <c:v>AvlatencyN</c:v>
                </c:pt>
                <c:pt idx="2">
                  <c:v>AvlatencyM</c:v>
                </c:pt>
                <c:pt idx="3">
                  <c:v>AvlatencyNP</c:v>
                </c:pt>
                <c:pt idx="4">
                  <c:v>AvlatencyNN</c:v>
                </c:pt>
              </c:strCache>
            </c:strRef>
          </c:cat>
          <c:val>
            <c:numRef>
              <c:f>CB!$K$19:$K$23</c:f>
              <c:numCache>
                <c:formatCode>General</c:formatCode>
                <c:ptCount val="5"/>
                <c:pt idx="0">
                  <c:v>13.376249999999999</c:v>
                </c:pt>
                <c:pt idx="1">
                  <c:v>27.25</c:v>
                </c:pt>
                <c:pt idx="2">
                  <c:v>20.75</c:v>
                </c:pt>
                <c:pt idx="3">
                  <c:v>19.875</c:v>
                </c:pt>
                <c:pt idx="4">
                  <c:v>29.25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A-9244-852D-C7227D362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470208"/>
        <c:axId val="1264839440"/>
      </c:barChart>
      <c:catAx>
        <c:axId val="44247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Trial</a:t>
                </a:r>
                <a:r>
                  <a:rPr lang="en-GB" baseline="0"/>
                  <a:t> type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839440"/>
        <c:crosses val="autoZero"/>
        <c:auto val="1"/>
        <c:lblAlgn val="ctr"/>
        <c:lblOffset val="100"/>
        <c:noMultiLvlLbl val="0"/>
      </c:catAx>
      <c:valAx>
        <c:axId val="126483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latency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47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7</xdr:row>
      <xdr:rowOff>152400</xdr:rowOff>
    </xdr:from>
    <xdr:to>
      <xdr:col>16</xdr:col>
      <xdr:colOff>749300</xdr:colOff>
      <xdr:row>21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B5426-F6A3-6432-1732-CD305F01A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508000</xdr:colOff>
      <xdr:row>6</xdr:row>
      <xdr:rowOff>177800</xdr:rowOff>
    </xdr:from>
    <xdr:to>
      <xdr:col>19</xdr:col>
      <xdr:colOff>127000</xdr:colOff>
      <xdr:row>20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74168C-4E52-C7E2-AE90-EC5F1B3C9A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447.440410532407" createdVersion="8" refreshedVersion="8" minRefreshableVersion="3" recordCount="52" xr:uid="{4D80D0C4-1D62-8D4F-BD9F-D41245209C9D}">
  <cacheSource type="worksheet">
    <worksheetSource ref="A2:H1048576" sheet="SampleData"/>
  </cacheSource>
  <cacheFields count="8">
    <cacheField name="HorseNo" numFmtId="0">
      <sharedItems containsString="0" containsBlank="1" containsNumber="1" containsInteger="1" minValue="1" maxValue="2"/>
    </cacheField>
    <cacheField name="Horse" numFmtId="0">
      <sharedItems containsBlank="1" count="3">
        <s v="Atom"/>
        <s v="Ash"/>
        <m/>
      </sharedItems>
    </cacheField>
    <cacheField name="Session type" numFmtId="0">
      <sharedItems containsBlank="1" count="6">
        <s v="RPA"/>
        <s v="RPH"/>
        <s v="RPE"/>
        <s v="RPER"/>
        <s v="RPR"/>
        <m/>
      </sharedItems>
    </cacheField>
    <cacheField name="Session#" numFmtId="0">
      <sharedItems containsString="0" containsBlank="1" containsNumber="1" containsInteger="1" minValue="1" maxValue="3"/>
    </cacheField>
    <cacheField name="Trial#" numFmtId="0">
      <sharedItems containsString="0" containsBlank="1" containsNumber="1" containsInteger="1" minValue="1" maxValue="3"/>
    </cacheField>
    <cacheField name="latency(s)" numFmtId="0">
      <sharedItems containsString="0" containsBlank="1" containsNumber="1" minValue="1E-3" maxValue="90.56"/>
    </cacheField>
    <cacheField name="Latency criterion (0/1)" numFmtId="0">
      <sharedItems containsString="0" containsBlank="1" containsNumber="1" containsInteger="1" minValue="0" maxValue="1"/>
    </cacheField>
    <cacheField name="Timeout (0/1)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447.489027777781" createdVersion="8" refreshedVersion="8" minRefreshableVersion="3" recordCount="73" xr:uid="{DFD8E6B9-D504-C344-978A-034FC3E25A8F}">
  <cacheSource type="worksheet">
    <worksheetSource ref="A2:I1048576" sheet="CB"/>
  </cacheSource>
  <cacheFields count="9">
    <cacheField name="HorseNo" numFmtId="0">
      <sharedItems containsString="0" containsBlank="1" containsNumber="1" containsInteger="1" minValue="1" maxValue="2"/>
    </cacheField>
    <cacheField name="Horse" numFmtId="0">
      <sharedItems containsBlank="1" count="3">
        <s v="Atom"/>
        <s v="Ash"/>
        <m/>
      </sharedItems>
    </cacheField>
    <cacheField name="Session type" numFmtId="0">
      <sharedItems containsBlank="1" count="11">
        <s v="CBF1"/>
        <s v="CBF2"/>
        <s v="CBR2"/>
        <s v="CBF3"/>
        <s v="CBR3"/>
        <s v="CBR1"/>
        <s v="CBT1"/>
        <s v="CBT2"/>
        <s v="CBT3"/>
        <s v="CBT4"/>
        <m/>
      </sharedItems>
    </cacheField>
    <cacheField name="Session#" numFmtId="0">
      <sharedItems containsNonDate="0" containsString="0" containsBlank="1"/>
    </cacheField>
    <cacheField name="Trialtype" numFmtId="0">
      <sharedItems containsBlank="1"/>
    </cacheField>
    <cacheField name="Trial#" numFmtId="0">
      <sharedItems containsString="0" containsBlank="1" containsNumber="1" containsInteger="1" minValue="1" maxValue="5"/>
    </cacheField>
    <cacheField name="latency(s)" numFmtId="0">
      <sharedItems containsString="0" containsBlank="1" containsNumber="1" minValue="6" maxValue="30"/>
    </cacheField>
    <cacheField name="GO (1)/NOGO (0)" numFmtId="0">
      <sharedItems containsString="0" containsBlank="1" containsNumber="1" containsInteger="1" minValue="0" maxValue="1"/>
    </cacheField>
    <cacheField name="Latency criterion (0/1)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x v="0"/>
    <x v="0"/>
    <n v="1"/>
    <n v="1"/>
    <n v="45.01"/>
    <n v="0"/>
    <n v="0"/>
  </r>
  <r>
    <n v="1"/>
    <x v="0"/>
    <x v="0"/>
    <n v="1"/>
    <n v="2"/>
    <n v="19.03"/>
    <n v="1"/>
    <n v="0"/>
  </r>
  <r>
    <n v="1"/>
    <x v="0"/>
    <x v="0"/>
    <n v="1"/>
    <n v="3"/>
    <n v="36.19"/>
    <n v="0"/>
    <n v="0"/>
  </r>
  <r>
    <n v="2"/>
    <x v="1"/>
    <x v="0"/>
    <n v="1"/>
    <n v="1"/>
    <n v="90.56"/>
    <n v="0"/>
    <n v="0"/>
  </r>
  <r>
    <n v="2"/>
    <x v="1"/>
    <x v="0"/>
    <n v="1"/>
    <n v="2"/>
    <n v="45"/>
    <n v="0"/>
    <n v="0"/>
  </r>
  <r>
    <n v="2"/>
    <x v="1"/>
    <x v="0"/>
    <n v="1"/>
    <n v="3"/>
    <n v="19"/>
    <n v="1"/>
    <n v="0"/>
  </r>
  <r>
    <n v="1"/>
    <x v="0"/>
    <x v="0"/>
    <n v="2"/>
    <n v="1"/>
    <n v="13"/>
    <n v="1"/>
    <n v="0"/>
  </r>
  <r>
    <n v="1"/>
    <x v="0"/>
    <x v="0"/>
    <n v="2"/>
    <n v="2"/>
    <n v="12"/>
    <n v="1"/>
    <n v="0"/>
  </r>
  <r>
    <n v="1"/>
    <x v="0"/>
    <x v="0"/>
    <n v="2"/>
    <n v="3"/>
    <n v="10"/>
    <n v="1"/>
    <n v="0"/>
  </r>
  <r>
    <n v="2"/>
    <x v="1"/>
    <x v="0"/>
    <n v="2"/>
    <n v="1"/>
    <n v="34"/>
    <n v="0"/>
    <n v="0"/>
  </r>
  <r>
    <n v="2"/>
    <x v="1"/>
    <x v="0"/>
    <n v="2"/>
    <n v="2"/>
    <n v="15"/>
    <n v="1"/>
    <n v="0"/>
  </r>
  <r>
    <n v="2"/>
    <x v="1"/>
    <x v="0"/>
    <n v="2"/>
    <n v="3"/>
    <n v="21"/>
    <n v="0"/>
    <n v="0"/>
  </r>
  <r>
    <n v="1"/>
    <x v="0"/>
    <x v="1"/>
    <n v="1"/>
    <n v="1"/>
    <n v="9"/>
    <n v="1"/>
    <n v="0"/>
  </r>
  <r>
    <n v="1"/>
    <x v="0"/>
    <x v="1"/>
    <n v="1"/>
    <n v="2"/>
    <n v="4"/>
    <n v="1"/>
    <n v="0"/>
  </r>
  <r>
    <n v="1"/>
    <x v="0"/>
    <x v="1"/>
    <n v="1"/>
    <n v="3"/>
    <n v="2"/>
    <n v="1"/>
    <n v="0"/>
  </r>
  <r>
    <n v="2"/>
    <x v="1"/>
    <x v="0"/>
    <n v="3"/>
    <n v="1"/>
    <n v="11"/>
    <n v="1"/>
    <n v="0"/>
  </r>
  <r>
    <n v="2"/>
    <x v="1"/>
    <x v="0"/>
    <n v="3"/>
    <n v="2"/>
    <n v="9"/>
    <n v="1"/>
    <n v="0"/>
  </r>
  <r>
    <n v="2"/>
    <x v="1"/>
    <x v="0"/>
    <n v="3"/>
    <n v="3"/>
    <n v="2"/>
    <n v="1"/>
    <n v="0"/>
  </r>
  <r>
    <n v="1"/>
    <x v="0"/>
    <x v="1"/>
    <n v="2"/>
    <n v="1"/>
    <n v="1"/>
    <n v="1"/>
    <n v="0"/>
  </r>
  <r>
    <n v="1"/>
    <x v="0"/>
    <x v="1"/>
    <n v="2"/>
    <n v="2"/>
    <n v="0.5"/>
    <n v="1"/>
    <n v="0"/>
  </r>
  <r>
    <n v="1"/>
    <x v="0"/>
    <x v="1"/>
    <n v="2"/>
    <n v="3"/>
    <n v="0.3"/>
    <n v="1"/>
    <n v="0"/>
  </r>
  <r>
    <n v="2"/>
    <x v="1"/>
    <x v="1"/>
    <n v="1"/>
    <n v="1"/>
    <n v="3"/>
    <n v="1"/>
    <n v="0"/>
  </r>
  <r>
    <n v="2"/>
    <x v="1"/>
    <x v="1"/>
    <n v="1"/>
    <n v="2"/>
    <n v="45"/>
    <n v="0"/>
    <n v="1"/>
  </r>
  <r>
    <n v="2"/>
    <x v="1"/>
    <x v="1"/>
    <n v="1"/>
    <n v="3"/>
    <n v="2"/>
    <n v="1"/>
    <n v="0"/>
  </r>
  <r>
    <n v="1"/>
    <x v="0"/>
    <x v="1"/>
    <n v="3"/>
    <n v="1"/>
    <n v="0.2"/>
    <n v="1"/>
    <n v="0"/>
  </r>
  <r>
    <n v="1"/>
    <x v="0"/>
    <x v="1"/>
    <n v="3"/>
    <n v="2"/>
    <n v="0.3"/>
    <n v="1"/>
    <n v="0"/>
  </r>
  <r>
    <n v="1"/>
    <x v="0"/>
    <x v="1"/>
    <n v="3"/>
    <n v="3"/>
    <n v="0.1"/>
    <n v="1"/>
    <n v="0"/>
  </r>
  <r>
    <n v="2"/>
    <x v="1"/>
    <x v="1"/>
    <n v="2"/>
    <n v="1"/>
    <n v="0.4"/>
    <n v="1"/>
    <n v="0"/>
  </r>
  <r>
    <n v="2"/>
    <x v="1"/>
    <x v="1"/>
    <n v="2"/>
    <n v="2"/>
    <n v="5"/>
    <n v="1"/>
    <n v="0"/>
  </r>
  <r>
    <n v="2"/>
    <x v="1"/>
    <x v="1"/>
    <n v="2"/>
    <n v="3"/>
    <n v="7"/>
    <n v="1"/>
    <n v="0"/>
  </r>
  <r>
    <n v="1"/>
    <x v="0"/>
    <x v="2"/>
    <n v="1"/>
    <n v="1"/>
    <n v="0.1"/>
    <n v="0"/>
    <n v="0"/>
  </r>
  <r>
    <n v="1"/>
    <x v="0"/>
    <x v="2"/>
    <n v="1"/>
    <n v="2"/>
    <n v="19"/>
    <n v="0"/>
    <n v="0"/>
  </r>
  <r>
    <n v="1"/>
    <x v="0"/>
    <x v="2"/>
    <n v="1"/>
    <n v="3"/>
    <n v="20"/>
    <n v="1"/>
    <n v="0"/>
  </r>
  <r>
    <n v="2"/>
    <x v="1"/>
    <x v="1"/>
    <n v="3"/>
    <n v="1"/>
    <n v="0.1"/>
    <n v="1"/>
    <n v="0"/>
  </r>
  <r>
    <n v="2"/>
    <x v="1"/>
    <x v="1"/>
    <n v="3"/>
    <n v="2"/>
    <n v="0.1"/>
    <n v="1"/>
    <n v="0"/>
  </r>
  <r>
    <n v="2"/>
    <x v="1"/>
    <x v="1"/>
    <n v="3"/>
    <n v="3"/>
    <n v="0.2"/>
    <n v="1"/>
    <n v="0"/>
  </r>
  <r>
    <n v="1"/>
    <x v="0"/>
    <x v="3"/>
    <n v="1"/>
    <n v="1"/>
    <n v="20"/>
    <n v="1"/>
    <n v="0"/>
  </r>
  <r>
    <n v="1"/>
    <x v="0"/>
    <x v="3"/>
    <n v="1"/>
    <n v="2"/>
    <n v="20"/>
    <n v="1"/>
    <n v="0"/>
  </r>
  <r>
    <n v="1"/>
    <x v="0"/>
    <x v="3"/>
    <n v="1"/>
    <n v="3"/>
    <n v="20"/>
    <n v="1"/>
    <n v="0"/>
  </r>
  <r>
    <n v="2"/>
    <x v="1"/>
    <x v="2"/>
    <n v="1"/>
    <n v="1"/>
    <n v="0.1"/>
    <n v="1"/>
    <n v="0"/>
  </r>
  <r>
    <n v="2"/>
    <x v="1"/>
    <x v="2"/>
    <n v="1"/>
    <n v="2"/>
    <n v="20"/>
    <n v="1"/>
    <n v="0"/>
  </r>
  <r>
    <n v="2"/>
    <x v="1"/>
    <x v="2"/>
    <n v="1"/>
    <n v="3"/>
    <n v="20"/>
    <n v="1"/>
    <n v="0"/>
  </r>
  <r>
    <n v="1"/>
    <x v="0"/>
    <x v="4"/>
    <n v="1"/>
    <n v="1"/>
    <n v="12"/>
    <n v="1"/>
    <n v="0"/>
  </r>
  <r>
    <n v="1"/>
    <x v="0"/>
    <x v="4"/>
    <n v="1"/>
    <n v="2"/>
    <n v="0.1"/>
    <n v="1"/>
    <n v="0"/>
  </r>
  <r>
    <n v="1"/>
    <x v="0"/>
    <x v="4"/>
    <n v="1"/>
    <n v="3"/>
    <n v="0.1"/>
    <n v="1"/>
    <n v="0"/>
  </r>
  <r>
    <n v="2"/>
    <x v="1"/>
    <x v="3"/>
    <n v="1"/>
    <n v="1"/>
    <n v="20"/>
    <n v="1"/>
    <n v="0"/>
  </r>
  <r>
    <n v="2"/>
    <x v="1"/>
    <x v="3"/>
    <n v="1"/>
    <n v="2"/>
    <n v="20"/>
    <n v="1"/>
    <n v="0"/>
  </r>
  <r>
    <n v="2"/>
    <x v="1"/>
    <x v="3"/>
    <n v="1"/>
    <n v="3"/>
    <n v="20"/>
    <n v="1"/>
    <n v="0"/>
  </r>
  <r>
    <n v="2"/>
    <x v="1"/>
    <x v="4"/>
    <n v="1"/>
    <n v="1"/>
    <n v="1E-3"/>
    <n v="1"/>
    <n v="0"/>
  </r>
  <r>
    <n v="2"/>
    <x v="1"/>
    <x v="4"/>
    <n v="1"/>
    <n v="2"/>
    <n v="0.02"/>
    <n v="1"/>
    <n v="0"/>
  </r>
  <r>
    <n v="2"/>
    <x v="1"/>
    <x v="4"/>
    <n v="1"/>
    <n v="3"/>
    <n v="0.03"/>
    <n v="1"/>
    <n v="0"/>
  </r>
  <r>
    <m/>
    <x v="2"/>
    <x v="5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n v="1"/>
    <x v="0"/>
    <x v="0"/>
    <m/>
    <s v="P"/>
    <n v="1"/>
    <n v="20"/>
    <n v="1"/>
    <n v="1"/>
  </r>
  <r>
    <n v="1"/>
    <x v="0"/>
    <x v="0"/>
    <m/>
    <s v="P"/>
    <n v="2"/>
    <n v="19.03"/>
    <n v="1"/>
    <n v="1"/>
  </r>
  <r>
    <n v="1"/>
    <x v="0"/>
    <x v="0"/>
    <m/>
    <s v="N"/>
    <n v="3"/>
    <n v="19"/>
    <n v="1"/>
    <n v="0"/>
  </r>
  <r>
    <n v="1"/>
    <x v="0"/>
    <x v="0"/>
    <m/>
    <s v="N"/>
    <n v="4"/>
    <n v="18"/>
    <n v="1"/>
    <n v="0"/>
  </r>
  <r>
    <n v="2"/>
    <x v="1"/>
    <x v="0"/>
    <m/>
    <s v="P"/>
    <n v="1"/>
    <n v="23"/>
    <n v="1"/>
    <n v="1"/>
  </r>
  <r>
    <n v="2"/>
    <x v="1"/>
    <x v="0"/>
    <m/>
    <s v="P"/>
    <n v="2"/>
    <n v="15"/>
    <n v="1"/>
    <n v="1"/>
  </r>
  <r>
    <n v="2"/>
    <x v="1"/>
    <x v="0"/>
    <m/>
    <s v="N"/>
    <n v="3"/>
    <n v="12"/>
    <n v="1"/>
    <n v="0"/>
  </r>
  <r>
    <n v="2"/>
    <x v="1"/>
    <x v="0"/>
    <m/>
    <s v="N"/>
    <n v="4"/>
    <n v="30"/>
    <n v="0"/>
    <n v="1"/>
  </r>
  <r>
    <n v="1"/>
    <x v="0"/>
    <x v="1"/>
    <m/>
    <s v="P"/>
    <n v="1"/>
    <n v="13"/>
    <n v="1"/>
    <n v="1"/>
  </r>
  <r>
    <n v="1"/>
    <x v="0"/>
    <x v="1"/>
    <m/>
    <s v="P"/>
    <n v="2"/>
    <n v="23"/>
    <n v="1"/>
    <n v="1"/>
  </r>
  <r>
    <n v="1"/>
    <x v="0"/>
    <x v="1"/>
    <m/>
    <s v="N"/>
    <n v="3"/>
    <n v="10"/>
    <n v="1"/>
    <n v="0"/>
  </r>
  <r>
    <n v="1"/>
    <x v="0"/>
    <x v="2"/>
    <m/>
    <s v="N"/>
    <n v="4"/>
    <n v="30"/>
    <n v="1"/>
    <n v="1"/>
  </r>
  <r>
    <n v="2"/>
    <x v="1"/>
    <x v="1"/>
    <m/>
    <s v="P"/>
    <n v="1"/>
    <n v="12"/>
    <n v="1"/>
    <n v="1"/>
  </r>
  <r>
    <n v="2"/>
    <x v="1"/>
    <x v="1"/>
    <m/>
    <s v="P"/>
    <n v="2"/>
    <n v="15"/>
    <n v="1"/>
    <n v="1"/>
  </r>
  <r>
    <n v="2"/>
    <x v="1"/>
    <x v="1"/>
    <m/>
    <s v="N"/>
    <n v="3"/>
    <n v="30"/>
    <n v="0"/>
    <n v="1"/>
  </r>
  <r>
    <n v="2"/>
    <x v="1"/>
    <x v="1"/>
    <m/>
    <s v="N"/>
    <n v="4"/>
    <n v="30"/>
    <n v="0"/>
    <n v="1"/>
  </r>
  <r>
    <n v="1"/>
    <x v="0"/>
    <x v="3"/>
    <m/>
    <s v="P"/>
    <n v="1"/>
    <n v="13"/>
    <n v="1"/>
    <n v="1"/>
  </r>
  <r>
    <n v="1"/>
    <x v="0"/>
    <x v="3"/>
    <m/>
    <s v="P"/>
    <n v="2"/>
    <n v="11"/>
    <n v="1"/>
    <n v="1"/>
  </r>
  <r>
    <n v="1"/>
    <x v="0"/>
    <x v="3"/>
    <m/>
    <s v="N"/>
    <n v="3"/>
    <n v="30"/>
    <n v="0"/>
    <n v="1"/>
  </r>
  <r>
    <n v="1"/>
    <x v="0"/>
    <x v="4"/>
    <m/>
    <s v="N"/>
    <n v="4"/>
    <n v="30"/>
    <n v="0"/>
    <n v="1"/>
  </r>
  <r>
    <n v="2"/>
    <x v="1"/>
    <x v="5"/>
    <m/>
    <s v="P"/>
    <n v="1"/>
    <n v="11"/>
    <n v="1"/>
    <n v="1"/>
  </r>
  <r>
    <n v="2"/>
    <x v="1"/>
    <x v="5"/>
    <m/>
    <s v="N"/>
    <n v="2"/>
    <n v="30"/>
    <n v="0"/>
    <n v="1"/>
  </r>
  <r>
    <n v="2"/>
    <x v="1"/>
    <x v="5"/>
    <m/>
    <s v="P"/>
    <n v="3"/>
    <n v="9"/>
    <n v="1"/>
    <n v="1"/>
  </r>
  <r>
    <n v="2"/>
    <x v="1"/>
    <x v="5"/>
    <m/>
    <s v="N"/>
    <n v="4"/>
    <n v="30"/>
    <n v="0"/>
    <n v="1"/>
  </r>
  <r>
    <n v="1"/>
    <x v="0"/>
    <x v="5"/>
    <m/>
    <s v="P"/>
    <n v="1"/>
    <n v="18"/>
    <n v="1"/>
    <n v="1"/>
  </r>
  <r>
    <n v="1"/>
    <x v="0"/>
    <x v="5"/>
    <m/>
    <s v="N"/>
    <n v="2"/>
    <n v="30"/>
    <n v="0"/>
    <n v="1"/>
  </r>
  <r>
    <n v="1"/>
    <x v="0"/>
    <x v="5"/>
    <m/>
    <s v="P"/>
    <n v="3"/>
    <n v="12"/>
    <n v="1"/>
    <n v="1"/>
  </r>
  <r>
    <n v="1"/>
    <x v="0"/>
    <x v="5"/>
    <m/>
    <s v="N"/>
    <n v="4"/>
    <n v="25"/>
    <n v="1"/>
    <n v="0"/>
  </r>
  <r>
    <n v="2"/>
    <x v="1"/>
    <x v="6"/>
    <m/>
    <s v="P"/>
    <n v="1"/>
    <n v="8"/>
    <n v="1"/>
    <m/>
  </r>
  <r>
    <n v="2"/>
    <x v="1"/>
    <x v="6"/>
    <m/>
    <s v="N"/>
    <n v="2"/>
    <n v="30"/>
    <n v="0"/>
    <m/>
  </r>
  <r>
    <n v="2"/>
    <x v="1"/>
    <x v="6"/>
    <m/>
    <s v="M"/>
    <n v="3"/>
    <n v="23"/>
    <n v="1"/>
    <m/>
  </r>
  <r>
    <n v="2"/>
    <x v="1"/>
    <x v="6"/>
    <m/>
    <s v="NP"/>
    <n v="4"/>
    <n v="14"/>
    <n v="1"/>
    <m/>
  </r>
  <r>
    <n v="2"/>
    <x v="1"/>
    <x v="6"/>
    <m/>
    <s v="NN"/>
    <n v="5"/>
    <n v="30"/>
    <n v="0"/>
    <m/>
  </r>
  <r>
    <n v="1"/>
    <x v="0"/>
    <x v="2"/>
    <m/>
    <s v="N"/>
    <n v="1"/>
    <n v="30"/>
    <n v="0"/>
    <n v="1"/>
  </r>
  <r>
    <n v="1"/>
    <x v="0"/>
    <x v="2"/>
    <m/>
    <s v="P"/>
    <n v="2"/>
    <n v="13"/>
    <n v="1"/>
    <n v="1"/>
  </r>
  <r>
    <n v="1"/>
    <x v="0"/>
    <x v="2"/>
    <m/>
    <s v="N"/>
    <n v="3"/>
    <n v="30"/>
    <n v="0"/>
    <n v="1"/>
  </r>
  <r>
    <n v="1"/>
    <x v="0"/>
    <x v="2"/>
    <m/>
    <s v="P"/>
    <n v="4"/>
    <n v="8"/>
    <n v="1"/>
    <n v="1"/>
  </r>
  <r>
    <n v="2"/>
    <x v="1"/>
    <x v="7"/>
    <m/>
    <s v="N"/>
    <n v="1"/>
    <n v="30"/>
    <n v="0"/>
    <m/>
  </r>
  <r>
    <n v="2"/>
    <x v="1"/>
    <x v="7"/>
    <m/>
    <s v="M"/>
    <n v="2"/>
    <n v="15"/>
    <n v="1"/>
    <m/>
  </r>
  <r>
    <n v="2"/>
    <x v="1"/>
    <x v="7"/>
    <m/>
    <s v="P"/>
    <n v="3"/>
    <n v="6"/>
    <n v="1"/>
    <m/>
  </r>
  <r>
    <n v="2"/>
    <x v="1"/>
    <x v="7"/>
    <m/>
    <s v="NP"/>
    <n v="4"/>
    <n v="15"/>
    <n v="1"/>
    <m/>
  </r>
  <r>
    <n v="2"/>
    <x v="1"/>
    <x v="7"/>
    <m/>
    <s v="NN"/>
    <n v="5"/>
    <n v="30"/>
    <n v="0"/>
    <m/>
  </r>
  <r>
    <n v="1"/>
    <x v="0"/>
    <x v="6"/>
    <m/>
    <s v="P"/>
    <n v="1"/>
    <n v="10"/>
    <n v="1"/>
    <m/>
  </r>
  <r>
    <n v="1"/>
    <x v="0"/>
    <x v="6"/>
    <m/>
    <s v="N"/>
    <n v="2"/>
    <n v="30"/>
    <n v="0"/>
    <m/>
  </r>
  <r>
    <n v="1"/>
    <x v="0"/>
    <x v="6"/>
    <m/>
    <s v="M"/>
    <n v="3"/>
    <n v="14"/>
    <n v="1"/>
    <m/>
  </r>
  <r>
    <n v="1"/>
    <x v="0"/>
    <x v="6"/>
    <m/>
    <s v="NP"/>
    <n v="4"/>
    <n v="17"/>
    <n v="1"/>
    <m/>
  </r>
  <r>
    <n v="1"/>
    <x v="0"/>
    <x v="6"/>
    <m/>
    <s v="NN"/>
    <n v="5"/>
    <n v="27"/>
    <n v="1"/>
    <m/>
  </r>
  <r>
    <n v="2"/>
    <x v="1"/>
    <x v="8"/>
    <m/>
    <s v="P"/>
    <n v="1"/>
    <n v="17"/>
    <n v="1"/>
    <m/>
  </r>
  <r>
    <n v="2"/>
    <x v="1"/>
    <x v="8"/>
    <m/>
    <s v="N"/>
    <n v="2"/>
    <n v="30"/>
    <n v="0"/>
    <m/>
  </r>
  <r>
    <n v="2"/>
    <x v="1"/>
    <x v="8"/>
    <m/>
    <s v="M"/>
    <n v="3"/>
    <n v="30"/>
    <n v="0"/>
    <m/>
  </r>
  <r>
    <n v="2"/>
    <x v="1"/>
    <x v="8"/>
    <m/>
    <s v="NP"/>
    <n v="4"/>
    <n v="30"/>
    <n v="0"/>
    <m/>
  </r>
  <r>
    <n v="2"/>
    <x v="1"/>
    <x v="8"/>
    <m/>
    <s v="NN"/>
    <n v="5"/>
    <n v="30"/>
    <n v="0"/>
    <m/>
  </r>
  <r>
    <n v="1"/>
    <x v="0"/>
    <x v="7"/>
    <m/>
    <s v="N"/>
    <n v="1"/>
    <n v="30"/>
    <n v="0"/>
    <m/>
  </r>
  <r>
    <n v="1"/>
    <x v="0"/>
    <x v="7"/>
    <m/>
    <s v="M"/>
    <n v="2"/>
    <n v="14"/>
    <n v="1"/>
    <m/>
  </r>
  <r>
    <n v="1"/>
    <x v="0"/>
    <x v="7"/>
    <m/>
    <s v="P"/>
    <n v="3"/>
    <n v="12"/>
    <n v="1"/>
    <m/>
  </r>
  <r>
    <n v="1"/>
    <x v="0"/>
    <x v="7"/>
    <m/>
    <s v="NP"/>
    <n v="4"/>
    <n v="26"/>
    <n v="1"/>
    <m/>
  </r>
  <r>
    <n v="1"/>
    <x v="0"/>
    <x v="7"/>
    <m/>
    <s v="NN"/>
    <n v="5"/>
    <n v="30"/>
    <n v="1"/>
    <m/>
  </r>
  <r>
    <n v="2"/>
    <x v="1"/>
    <x v="9"/>
    <m/>
    <s v="P"/>
    <n v="1"/>
    <n v="8"/>
    <n v="1"/>
    <m/>
  </r>
  <r>
    <n v="2"/>
    <x v="1"/>
    <x v="9"/>
    <m/>
    <s v="N"/>
    <n v="2"/>
    <n v="30"/>
    <n v="0"/>
    <m/>
  </r>
  <r>
    <n v="2"/>
    <x v="1"/>
    <x v="9"/>
    <m/>
    <s v="M"/>
    <n v="3"/>
    <n v="30"/>
    <n v="0"/>
    <m/>
  </r>
  <r>
    <n v="2"/>
    <x v="1"/>
    <x v="9"/>
    <m/>
    <s v="NP"/>
    <n v="4"/>
    <n v="28"/>
    <n v="1"/>
    <m/>
  </r>
  <r>
    <n v="2"/>
    <x v="1"/>
    <x v="9"/>
    <m/>
    <s v="NN"/>
    <n v="5"/>
    <n v="30"/>
    <n v="0"/>
    <m/>
  </r>
  <r>
    <n v="1"/>
    <x v="0"/>
    <x v="8"/>
    <m/>
    <s v="P"/>
    <n v="1"/>
    <n v="12"/>
    <n v="1"/>
    <m/>
  </r>
  <r>
    <n v="1"/>
    <x v="0"/>
    <x v="8"/>
    <m/>
    <s v="N"/>
    <n v="2"/>
    <n v="30"/>
    <n v="0"/>
    <m/>
  </r>
  <r>
    <n v="1"/>
    <x v="0"/>
    <x v="8"/>
    <m/>
    <s v="M"/>
    <n v="3"/>
    <n v="30"/>
    <n v="0"/>
    <m/>
  </r>
  <r>
    <n v="1"/>
    <x v="0"/>
    <x v="8"/>
    <m/>
    <s v="NP"/>
    <n v="4"/>
    <n v="12"/>
    <n v="1"/>
    <m/>
  </r>
  <r>
    <n v="1"/>
    <x v="0"/>
    <x v="8"/>
    <m/>
    <s v="NN"/>
    <n v="5"/>
    <n v="27"/>
    <n v="1"/>
    <m/>
  </r>
  <r>
    <n v="2"/>
    <x v="0"/>
    <x v="9"/>
    <m/>
    <s v="P"/>
    <n v="1"/>
    <n v="13"/>
    <n v="1"/>
    <m/>
  </r>
  <r>
    <n v="2"/>
    <x v="0"/>
    <x v="9"/>
    <m/>
    <s v="N"/>
    <n v="2"/>
    <n v="30"/>
    <n v="0"/>
    <m/>
  </r>
  <r>
    <n v="2"/>
    <x v="0"/>
    <x v="9"/>
    <m/>
    <s v="M"/>
    <n v="3"/>
    <n v="10"/>
    <n v="1"/>
    <m/>
  </r>
  <r>
    <n v="2"/>
    <x v="0"/>
    <x v="9"/>
    <m/>
    <s v="NP"/>
    <n v="4"/>
    <n v="17"/>
    <n v="1"/>
    <m/>
  </r>
  <r>
    <n v="2"/>
    <x v="0"/>
    <x v="9"/>
    <m/>
    <s v="NN"/>
    <n v="5"/>
    <n v="30"/>
    <n v="0"/>
    <m/>
  </r>
  <r>
    <m/>
    <x v="2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91567-911E-C94D-A4AE-7CC81EFCE85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1" firstDataRow="2" firstDataCol="1"/>
  <pivotFields count="8"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7">
        <item x="0"/>
        <item x="2"/>
        <item x="3"/>
        <item x="1"/>
        <item x="4"/>
        <item x="5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latency(s)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6E170-CF22-E44C-AB6C-9310DA004CEC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K9" firstHeaderRow="1" firstDataRow="3" firstDataCol="1"/>
  <pivotFields count="9"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12">
        <item x="0"/>
        <item x="1"/>
        <item x="3"/>
        <item x="5"/>
        <item x="2"/>
        <item x="4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2">
    <field x="2"/>
    <field x="-2"/>
  </colFields>
  <colItems count="36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>
      <x v="6"/>
      <x/>
    </i>
    <i r="1" i="1">
      <x v="1"/>
    </i>
    <i r="1" i="2">
      <x v="2"/>
    </i>
    <i>
      <x v="7"/>
      <x/>
    </i>
    <i r="1" i="1">
      <x v="1"/>
    </i>
    <i r="1" i="2">
      <x v="2"/>
    </i>
    <i>
      <x v="8"/>
      <x/>
    </i>
    <i r="1" i="1">
      <x v="1"/>
    </i>
    <i r="1" i="2">
      <x v="2"/>
    </i>
    <i>
      <x v="9"/>
      <x/>
    </i>
    <i r="1" i="1">
      <x v="1"/>
    </i>
    <i r="1" i="2">
      <x v="2"/>
    </i>
    <i>
      <x v="10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Average of latency(s)" fld="6" subtotal="average" baseField="0" baseItem="0"/>
    <dataField name="Sum of GO (1)/NOGO (0)" fld="7" baseField="0" baseItem="0"/>
    <dataField name="Sum of Latency criterion (0/1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A3EB-1365-EF4A-B2B7-E1C8AB6B582B}">
  <dimension ref="A1:C23"/>
  <sheetViews>
    <sheetView workbookViewId="0">
      <selection activeCell="G20" sqref="G20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0</v>
      </c>
      <c r="B2">
        <v>1</v>
      </c>
      <c r="C2" t="s">
        <v>5</v>
      </c>
    </row>
    <row r="3" spans="1:3" x14ac:dyDescent="0.2">
      <c r="A3" t="s">
        <v>0</v>
      </c>
      <c r="B3">
        <v>2</v>
      </c>
      <c r="C3" t="s">
        <v>6</v>
      </c>
    </row>
    <row r="4" spans="1:3" x14ac:dyDescent="0.2">
      <c r="A4" t="s">
        <v>0</v>
      </c>
      <c r="B4">
        <v>3</v>
      </c>
      <c r="C4" t="s">
        <v>7</v>
      </c>
    </row>
    <row r="5" spans="1:3" x14ac:dyDescent="0.2">
      <c r="A5" t="s">
        <v>0</v>
      </c>
      <c r="B5">
        <v>4</v>
      </c>
      <c r="C5" t="s">
        <v>8</v>
      </c>
    </row>
    <row r="6" spans="1:3" x14ac:dyDescent="0.2">
      <c r="A6" t="s">
        <v>0</v>
      </c>
      <c r="B6">
        <v>5</v>
      </c>
      <c r="C6" t="s">
        <v>9</v>
      </c>
    </row>
    <row r="7" spans="1:3" x14ac:dyDescent="0.2">
      <c r="A7" t="s">
        <v>0</v>
      </c>
      <c r="B7">
        <v>6</v>
      </c>
      <c r="C7" t="s">
        <v>10</v>
      </c>
    </row>
    <row r="8" spans="1:3" x14ac:dyDescent="0.2">
      <c r="A8" t="s">
        <v>0</v>
      </c>
      <c r="B8">
        <v>7</v>
      </c>
      <c r="C8" t="s">
        <v>11</v>
      </c>
    </row>
    <row r="9" spans="1:3" x14ac:dyDescent="0.2">
      <c r="A9" t="s">
        <v>0</v>
      </c>
      <c r="B9">
        <v>8</v>
      </c>
      <c r="C9" t="s">
        <v>12</v>
      </c>
    </row>
    <row r="10" spans="1:3" x14ac:dyDescent="0.2">
      <c r="A10" t="s">
        <v>0</v>
      </c>
      <c r="B10">
        <v>9</v>
      </c>
      <c r="C10" t="s">
        <v>13</v>
      </c>
    </row>
    <row r="11" spans="1:3" x14ac:dyDescent="0.2">
      <c r="A11" t="s">
        <v>0</v>
      </c>
      <c r="B11">
        <v>10</v>
      </c>
      <c r="C11" t="s">
        <v>14</v>
      </c>
    </row>
    <row r="12" spans="1:3" x14ac:dyDescent="0.2">
      <c r="A12" t="s">
        <v>4</v>
      </c>
      <c r="B12">
        <v>11</v>
      </c>
      <c r="C12" t="s">
        <v>15</v>
      </c>
    </row>
    <row r="13" spans="1:3" x14ac:dyDescent="0.2">
      <c r="A13" t="s">
        <v>4</v>
      </c>
      <c r="B13">
        <v>12</v>
      </c>
      <c r="C13" t="s">
        <v>16</v>
      </c>
    </row>
    <row r="14" spans="1:3" x14ac:dyDescent="0.2">
      <c r="A14" t="s">
        <v>4</v>
      </c>
      <c r="B14">
        <v>13</v>
      </c>
      <c r="C14" t="s">
        <v>17</v>
      </c>
    </row>
    <row r="15" spans="1:3" x14ac:dyDescent="0.2">
      <c r="A15" t="s">
        <v>4</v>
      </c>
      <c r="B15">
        <v>14</v>
      </c>
      <c r="C15" t="s">
        <v>18</v>
      </c>
    </row>
    <row r="16" spans="1:3" x14ac:dyDescent="0.2">
      <c r="A16" t="s">
        <v>4</v>
      </c>
      <c r="B16">
        <v>15</v>
      </c>
      <c r="C16" t="s">
        <v>19</v>
      </c>
    </row>
    <row r="17" spans="1:3" x14ac:dyDescent="0.2">
      <c r="A17" t="s">
        <v>4</v>
      </c>
      <c r="B17">
        <v>16</v>
      </c>
      <c r="C17" t="s">
        <v>20</v>
      </c>
    </row>
    <row r="18" spans="1:3" x14ac:dyDescent="0.2">
      <c r="A18" t="s">
        <v>4</v>
      </c>
      <c r="B18">
        <v>17</v>
      </c>
      <c r="C18" t="s">
        <v>21</v>
      </c>
    </row>
    <row r="19" spans="1:3" x14ac:dyDescent="0.2">
      <c r="A19" t="s">
        <v>4</v>
      </c>
      <c r="B19">
        <v>18</v>
      </c>
      <c r="C19" t="s">
        <v>22</v>
      </c>
    </row>
    <row r="20" spans="1:3" x14ac:dyDescent="0.2">
      <c r="A20" t="s">
        <v>4</v>
      </c>
      <c r="B20">
        <v>19</v>
      </c>
      <c r="C20" t="s">
        <v>23</v>
      </c>
    </row>
    <row r="21" spans="1:3" x14ac:dyDescent="0.2">
      <c r="A21" t="s">
        <v>4</v>
      </c>
      <c r="B21">
        <v>20</v>
      </c>
      <c r="C21" t="s">
        <v>24</v>
      </c>
    </row>
    <row r="22" spans="1:3" x14ac:dyDescent="0.2">
      <c r="A22" t="s">
        <v>4</v>
      </c>
      <c r="B22">
        <v>21</v>
      </c>
      <c r="C22" t="s">
        <v>25</v>
      </c>
    </row>
    <row r="23" spans="1:3" x14ac:dyDescent="0.2">
      <c r="A23" t="s">
        <v>4</v>
      </c>
      <c r="B23">
        <v>22</v>
      </c>
      <c r="C2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C3FE-0E3E-6C45-8B9C-5009BDFAFBB5}">
  <dimension ref="A2:J53"/>
  <sheetViews>
    <sheetView topLeftCell="A2" workbookViewId="0">
      <selection activeCell="J4" sqref="J4"/>
    </sheetView>
  </sheetViews>
  <sheetFormatPr baseColWidth="10" defaultRowHeight="16" x14ac:dyDescent="0.2"/>
  <cols>
    <col min="6" max="6" width="10.83203125" style="1"/>
    <col min="7" max="7" width="19.33203125" bestFit="1" customWidth="1"/>
  </cols>
  <sheetData>
    <row r="2" spans="1:10" x14ac:dyDescent="0.2">
      <c r="A2" t="s">
        <v>27</v>
      </c>
      <c r="B2" t="s">
        <v>3</v>
      </c>
      <c r="C2" t="s">
        <v>28</v>
      </c>
      <c r="D2" t="s">
        <v>29</v>
      </c>
      <c r="E2" t="s">
        <v>30</v>
      </c>
      <c r="F2" s="1" t="s">
        <v>33</v>
      </c>
      <c r="G2" t="s">
        <v>31</v>
      </c>
      <c r="H2" t="s">
        <v>35</v>
      </c>
    </row>
    <row r="3" spans="1:10" x14ac:dyDescent="0.2">
      <c r="A3">
        <v>1</v>
      </c>
      <c r="B3" t="s">
        <v>5</v>
      </c>
      <c r="C3" t="s">
        <v>32</v>
      </c>
      <c r="D3">
        <v>1</v>
      </c>
      <c r="E3">
        <v>1</v>
      </c>
      <c r="F3" s="1">
        <v>45.01</v>
      </c>
      <c r="G3">
        <v>0</v>
      </c>
      <c r="H3">
        <v>0</v>
      </c>
    </row>
    <row r="4" spans="1:10" x14ac:dyDescent="0.2">
      <c r="A4">
        <v>1</v>
      </c>
      <c r="B4" t="s">
        <v>5</v>
      </c>
      <c r="C4" t="s">
        <v>32</v>
      </c>
      <c r="D4">
        <v>1</v>
      </c>
      <c r="E4">
        <v>2</v>
      </c>
      <c r="F4" s="1">
        <v>19.03</v>
      </c>
      <c r="G4">
        <v>1</v>
      </c>
      <c r="H4">
        <v>0</v>
      </c>
      <c r="I4" t="s">
        <v>39</v>
      </c>
      <c r="J4">
        <f>AVERAGEIF($C$3:$C$53,$C3,$F$3:$F$53)</f>
        <v>25.452666666666666</v>
      </c>
    </row>
    <row r="5" spans="1:10" x14ac:dyDescent="0.2">
      <c r="A5">
        <v>1</v>
      </c>
      <c r="B5" t="s">
        <v>5</v>
      </c>
      <c r="C5" t="s">
        <v>32</v>
      </c>
      <c r="D5">
        <v>1</v>
      </c>
      <c r="E5">
        <v>3</v>
      </c>
      <c r="F5" s="1">
        <v>36.19</v>
      </c>
      <c r="G5">
        <v>0</v>
      </c>
      <c r="H5">
        <v>0</v>
      </c>
      <c r="I5" t="s">
        <v>40</v>
      </c>
      <c r="J5">
        <f>AVERAGEIF($C$3:$C$54,$C21,$F$3:$F$54)</f>
        <v>4.4555555555555548</v>
      </c>
    </row>
    <row r="6" spans="1:10" x14ac:dyDescent="0.2">
      <c r="A6">
        <v>2</v>
      </c>
      <c r="B6" t="s">
        <v>6</v>
      </c>
      <c r="C6" t="s">
        <v>32</v>
      </c>
      <c r="D6">
        <v>1</v>
      </c>
      <c r="E6">
        <v>1</v>
      </c>
      <c r="F6" s="1">
        <v>90.56</v>
      </c>
      <c r="G6">
        <v>0</v>
      </c>
      <c r="H6">
        <v>0</v>
      </c>
      <c r="I6" t="s">
        <v>41</v>
      </c>
      <c r="J6">
        <f>AVERAGEIF($C$3:$C$54,$C33,$F$3:$F$54)</f>
        <v>13.200000000000001</v>
      </c>
    </row>
    <row r="7" spans="1:10" x14ac:dyDescent="0.2">
      <c r="A7">
        <v>2</v>
      </c>
      <c r="B7" t="s">
        <v>6</v>
      </c>
      <c r="C7" t="s">
        <v>32</v>
      </c>
      <c r="D7">
        <v>1</v>
      </c>
      <c r="E7">
        <v>2</v>
      </c>
      <c r="F7" s="1">
        <v>45</v>
      </c>
      <c r="G7">
        <v>0</v>
      </c>
      <c r="H7">
        <v>0</v>
      </c>
      <c r="I7" t="s">
        <v>42</v>
      </c>
      <c r="J7">
        <f>AVERAGEIF($C$3:$C$54,$C39,$F$3:$F$54)</f>
        <v>20</v>
      </c>
    </row>
    <row r="8" spans="1:10" x14ac:dyDescent="0.2">
      <c r="A8">
        <v>2</v>
      </c>
      <c r="B8" t="s">
        <v>6</v>
      </c>
      <c r="C8" t="s">
        <v>32</v>
      </c>
      <c r="D8">
        <v>1</v>
      </c>
      <c r="E8">
        <v>3</v>
      </c>
      <c r="F8" s="1">
        <v>19</v>
      </c>
      <c r="G8">
        <v>1</v>
      </c>
      <c r="H8">
        <v>0</v>
      </c>
      <c r="I8" t="s">
        <v>43</v>
      </c>
      <c r="J8">
        <f>AVERAGEIF($C$3:$C$54,$C45,$F$3:$F$54)</f>
        <v>2.0418333333333329</v>
      </c>
    </row>
    <row r="9" spans="1:10" x14ac:dyDescent="0.2">
      <c r="A9">
        <v>1</v>
      </c>
      <c r="B9" t="s">
        <v>5</v>
      </c>
      <c r="C9" t="s">
        <v>32</v>
      </c>
      <c r="D9">
        <v>2</v>
      </c>
      <c r="E9">
        <v>1</v>
      </c>
      <c r="F9" s="1">
        <v>13</v>
      </c>
      <c r="G9">
        <v>1</v>
      </c>
      <c r="H9">
        <v>0</v>
      </c>
    </row>
    <row r="10" spans="1:10" x14ac:dyDescent="0.2">
      <c r="A10">
        <v>1</v>
      </c>
      <c r="B10" t="s">
        <v>5</v>
      </c>
      <c r="C10" t="s">
        <v>32</v>
      </c>
      <c r="D10">
        <v>2</v>
      </c>
      <c r="E10">
        <v>2</v>
      </c>
      <c r="F10" s="1">
        <v>12</v>
      </c>
      <c r="G10">
        <v>1</v>
      </c>
      <c r="H10">
        <v>0</v>
      </c>
    </row>
    <row r="11" spans="1:10" x14ac:dyDescent="0.2">
      <c r="A11">
        <v>1</v>
      </c>
      <c r="B11" t="s">
        <v>5</v>
      </c>
      <c r="C11" t="s">
        <v>32</v>
      </c>
      <c r="D11">
        <v>2</v>
      </c>
      <c r="E11">
        <v>3</v>
      </c>
      <c r="F11" s="1">
        <v>10</v>
      </c>
      <c r="G11">
        <v>1</v>
      </c>
      <c r="H11">
        <v>0</v>
      </c>
    </row>
    <row r="12" spans="1:10" x14ac:dyDescent="0.2">
      <c r="A12">
        <v>2</v>
      </c>
      <c r="B12" t="s">
        <v>6</v>
      </c>
      <c r="C12" t="s">
        <v>32</v>
      </c>
      <c r="D12">
        <v>2</v>
      </c>
      <c r="E12">
        <v>1</v>
      </c>
      <c r="F12" s="1">
        <v>34</v>
      </c>
      <c r="G12">
        <v>0</v>
      </c>
      <c r="H12">
        <v>0</v>
      </c>
    </row>
    <row r="13" spans="1:10" x14ac:dyDescent="0.2">
      <c r="A13">
        <v>2</v>
      </c>
      <c r="B13" t="s">
        <v>6</v>
      </c>
      <c r="C13" t="s">
        <v>32</v>
      </c>
      <c r="D13">
        <v>2</v>
      </c>
      <c r="E13">
        <v>2</v>
      </c>
      <c r="F13" s="1">
        <v>15</v>
      </c>
      <c r="G13">
        <v>1</v>
      </c>
      <c r="H13">
        <v>0</v>
      </c>
    </row>
    <row r="14" spans="1:10" x14ac:dyDescent="0.2">
      <c r="A14">
        <v>2</v>
      </c>
      <c r="B14" t="s">
        <v>6</v>
      </c>
      <c r="C14" t="s">
        <v>32</v>
      </c>
      <c r="D14">
        <v>2</v>
      </c>
      <c r="E14">
        <v>3</v>
      </c>
      <c r="F14" s="1">
        <v>21</v>
      </c>
      <c r="G14">
        <v>0</v>
      </c>
      <c r="H14">
        <v>0</v>
      </c>
    </row>
    <row r="15" spans="1:10" x14ac:dyDescent="0.2">
      <c r="A15">
        <v>1</v>
      </c>
      <c r="B15" t="s">
        <v>5</v>
      </c>
      <c r="C15" t="s">
        <v>34</v>
      </c>
      <c r="D15">
        <v>1</v>
      </c>
      <c r="E15">
        <v>1</v>
      </c>
      <c r="F15" s="1">
        <v>9</v>
      </c>
      <c r="G15">
        <v>1</v>
      </c>
      <c r="H15">
        <v>0</v>
      </c>
    </row>
    <row r="16" spans="1:10" x14ac:dyDescent="0.2">
      <c r="A16">
        <v>1</v>
      </c>
      <c r="B16" t="s">
        <v>5</v>
      </c>
      <c r="C16" t="s">
        <v>34</v>
      </c>
      <c r="D16">
        <v>1</v>
      </c>
      <c r="E16">
        <v>2</v>
      </c>
      <c r="F16" s="1">
        <v>4</v>
      </c>
      <c r="G16">
        <v>1</v>
      </c>
      <c r="H16">
        <v>0</v>
      </c>
    </row>
    <row r="17" spans="1:8" x14ac:dyDescent="0.2">
      <c r="A17">
        <v>1</v>
      </c>
      <c r="B17" t="s">
        <v>5</v>
      </c>
      <c r="C17" t="s">
        <v>34</v>
      </c>
      <c r="D17">
        <v>1</v>
      </c>
      <c r="E17">
        <v>3</v>
      </c>
      <c r="F17" s="1">
        <v>2</v>
      </c>
      <c r="G17">
        <v>1</v>
      </c>
      <c r="H17">
        <v>0</v>
      </c>
    </row>
    <row r="18" spans="1:8" x14ac:dyDescent="0.2">
      <c r="A18">
        <v>2</v>
      </c>
      <c r="B18" t="s">
        <v>6</v>
      </c>
      <c r="C18" t="s">
        <v>32</v>
      </c>
      <c r="D18">
        <v>3</v>
      </c>
      <c r="E18">
        <v>1</v>
      </c>
      <c r="F18" s="1">
        <v>11</v>
      </c>
      <c r="G18">
        <v>1</v>
      </c>
      <c r="H18">
        <v>0</v>
      </c>
    </row>
    <row r="19" spans="1:8" x14ac:dyDescent="0.2">
      <c r="A19">
        <v>2</v>
      </c>
      <c r="B19" t="s">
        <v>6</v>
      </c>
      <c r="C19" t="s">
        <v>32</v>
      </c>
      <c r="D19">
        <v>3</v>
      </c>
      <c r="E19">
        <v>2</v>
      </c>
      <c r="F19" s="1">
        <v>9</v>
      </c>
      <c r="G19">
        <v>1</v>
      </c>
      <c r="H19">
        <v>0</v>
      </c>
    </row>
    <row r="20" spans="1:8" x14ac:dyDescent="0.2">
      <c r="A20">
        <v>2</v>
      </c>
      <c r="B20" t="s">
        <v>6</v>
      </c>
      <c r="C20" t="s">
        <v>32</v>
      </c>
      <c r="D20">
        <v>3</v>
      </c>
      <c r="E20">
        <v>3</v>
      </c>
      <c r="F20" s="1">
        <v>2</v>
      </c>
      <c r="G20">
        <v>1</v>
      </c>
      <c r="H20">
        <v>0</v>
      </c>
    </row>
    <row r="21" spans="1:8" x14ac:dyDescent="0.2">
      <c r="A21">
        <v>1</v>
      </c>
      <c r="B21" t="s">
        <v>5</v>
      </c>
      <c r="C21" t="s">
        <v>34</v>
      </c>
      <c r="D21">
        <v>2</v>
      </c>
      <c r="E21">
        <v>1</v>
      </c>
      <c r="F21" s="1">
        <v>1</v>
      </c>
      <c r="G21">
        <v>1</v>
      </c>
      <c r="H21">
        <v>0</v>
      </c>
    </row>
    <row r="22" spans="1:8" x14ac:dyDescent="0.2">
      <c r="A22">
        <v>1</v>
      </c>
      <c r="B22" t="s">
        <v>5</v>
      </c>
      <c r="C22" t="s">
        <v>34</v>
      </c>
      <c r="D22">
        <v>2</v>
      </c>
      <c r="E22">
        <v>2</v>
      </c>
      <c r="F22" s="1">
        <v>0.5</v>
      </c>
      <c r="G22">
        <v>1</v>
      </c>
      <c r="H22">
        <v>0</v>
      </c>
    </row>
    <row r="23" spans="1:8" x14ac:dyDescent="0.2">
      <c r="A23">
        <v>1</v>
      </c>
      <c r="B23" t="s">
        <v>5</v>
      </c>
      <c r="C23" t="s">
        <v>34</v>
      </c>
      <c r="D23">
        <v>2</v>
      </c>
      <c r="E23">
        <v>3</v>
      </c>
      <c r="F23" s="1">
        <v>0.3</v>
      </c>
      <c r="G23">
        <v>1</v>
      </c>
      <c r="H23">
        <v>0</v>
      </c>
    </row>
    <row r="24" spans="1:8" x14ac:dyDescent="0.2">
      <c r="A24">
        <v>2</v>
      </c>
      <c r="B24" t="s">
        <v>6</v>
      </c>
      <c r="C24" t="s">
        <v>34</v>
      </c>
      <c r="D24">
        <v>1</v>
      </c>
      <c r="E24">
        <v>1</v>
      </c>
      <c r="F24" s="1">
        <v>3</v>
      </c>
      <c r="G24">
        <v>1</v>
      </c>
      <c r="H24">
        <v>0</v>
      </c>
    </row>
    <row r="25" spans="1:8" x14ac:dyDescent="0.2">
      <c r="A25">
        <v>2</v>
      </c>
      <c r="B25" t="s">
        <v>6</v>
      </c>
      <c r="C25" t="s">
        <v>34</v>
      </c>
      <c r="D25">
        <v>1</v>
      </c>
      <c r="E25">
        <v>2</v>
      </c>
      <c r="F25" s="1">
        <v>45</v>
      </c>
      <c r="G25">
        <v>0</v>
      </c>
      <c r="H25">
        <v>1</v>
      </c>
    </row>
    <row r="26" spans="1:8" x14ac:dyDescent="0.2">
      <c r="A26">
        <v>2</v>
      </c>
      <c r="B26" t="s">
        <v>6</v>
      </c>
      <c r="C26" t="s">
        <v>34</v>
      </c>
      <c r="D26">
        <v>1</v>
      </c>
      <c r="E26">
        <v>3</v>
      </c>
      <c r="F26" s="1">
        <v>2</v>
      </c>
      <c r="G26">
        <v>1</v>
      </c>
      <c r="H26">
        <v>0</v>
      </c>
    </row>
    <row r="27" spans="1:8" x14ac:dyDescent="0.2">
      <c r="A27">
        <v>1</v>
      </c>
      <c r="B27" t="s">
        <v>5</v>
      </c>
      <c r="C27" t="s">
        <v>34</v>
      </c>
      <c r="D27">
        <v>3</v>
      </c>
      <c r="E27">
        <v>1</v>
      </c>
      <c r="F27" s="1">
        <v>0.2</v>
      </c>
      <c r="G27">
        <v>1</v>
      </c>
      <c r="H27">
        <v>0</v>
      </c>
    </row>
    <row r="28" spans="1:8" x14ac:dyDescent="0.2">
      <c r="A28">
        <v>1</v>
      </c>
      <c r="B28" t="s">
        <v>5</v>
      </c>
      <c r="C28" t="s">
        <v>34</v>
      </c>
      <c r="D28">
        <v>3</v>
      </c>
      <c r="E28">
        <v>2</v>
      </c>
      <c r="F28" s="1">
        <v>0.3</v>
      </c>
      <c r="G28">
        <v>1</v>
      </c>
      <c r="H28">
        <v>0</v>
      </c>
    </row>
    <row r="29" spans="1:8" x14ac:dyDescent="0.2">
      <c r="A29">
        <v>1</v>
      </c>
      <c r="B29" t="s">
        <v>5</v>
      </c>
      <c r="C29" t="s">
        <v>34</v>
      </c>
      <c r="D29">
        <v>3</v>
      </c>
      <c r="E29">
        <v>3</v>
      </c>
      <c r="F29" s="1">
        <v>0.1</v>
      </c>
      <c r="G29">
        <v>1</v>
      </c>
      <c r="H29">
        <v>0</v>
      </c>
    </row>
    <row r="30" spans="1:8" x14ac:dyDescent="0.2">
      <c r="A30">
        <v>2</v>
      </c>
      <c r="B30" t="s">
        <v>6</v>
      </c>
      <c r="C30" t="s">
        <v>34</v>
      </c>
      <c r="D30">
        <v>2</v>
      </c>
      <c r="E30">
        <v>1</v>
      </c>
      <c r="F30" s="1">
        <v>0.4</v>
      </c>
      <c r="G30">
        <v>1</v>
      </c>
      <c r="H30">
        <v>0</v>
      </c>
    </row>
    <row r="31" spans="1:8" x14ac:dyDescent="0.2">
      <c r="A31">
        <v>2</v>
      </c>
      <c r="B31" t="s">
        <v>6</v>
      </c>
      <c r="C31" t="s">
        <v>34</v>
      </c>
      <c r="D31">
        <v>2</v>
      </c>
      <c r="E31">
        <v>2</v>
      </c>
      <c r="F31" s="1">
        <v>5</v>
      </c>
      <c r="G31">
        <v>1</v>
      </c>
      <c r="H31">
        <v>0</v>
      </c>
    </row>
    <row r="32" spans="1:8" x14ac:dyDescent="0.2">
      <c r="A32">
        <v>2</v>
      </c>
      <c r="B32" t="s">
        <v>6</v>
      </c>
      <c r="C32" t="s">
        <v>34</v>
      </c>
      <c r="D32">
        <v>2</v>
      </c>
      <c r="E32">
        <v>3</v>
      </c>
      <c r="F32" s="1">
        <v>7</v>
      </c>
      <c r="G32">
        <v>1</v>
      </c>
      <c r="H32">
        <v>0</v>
      </c>
    </row>
    <row r="33" spans="1:8" x14ac:dyDescent="0.2">
      <c r="A33">
        <v>1</v>
      </c>
      <c r="B33" t="s">
        <v>5</v>
      </c>
      <c r="C33" t="s">
        <v>36</v>
      </c>
      <c r="D33">
        <v>1</v>
      </c>
      <c r="E33">
        <v>1</v>
      </c>
      <c r="F33" s="1">
        <v>0.1</v>
      </c>
      <c r="G33">
        <v>0</v>
      </c>
      <c r="H33">
        <v>0</v>
      </c>
    </row>
    <row r="34" spans="1:8" x14ac:dyDescent="0.2">
      <c r="A34">
        <v>1</v>
      </c>
      <c r="B34" t="s">
        <v>5</v>
      </c>
      <c r="C34" t="s">
        <v>36</v>
      </c>
      <c r="D34">
        <v>1</v>
      </c>
      <c r="E34">
        <v>2</v>
      </c>
      <c r="F34" s="1">
        <v>19</v>
      </c>
      <c r="G34">
        <v>0</v>
      </c>
      <c r="H34">
        <v>0</v>
      </c>
    </row>
    <row r="35" spans="1:8" x14ac:dyDescent="0.2">
      <c r="A35">
        <v>1</v>
      </c>
      <c r="B35" t="s">
        <v>5</v>
      </c>
      <c r="C35" t="s">
        <v>36</v>
      </c>
      <c r="D35">
        <v>1</v>
      </c>
      <c r="E35">
        <v>3</v>
      </c>
      <c r="F35" s="1">
        <v>20</v>
      </c>
      <c r="G35">
        <v>1</v>
      </c>
      <c r="H35">
        <v>0</v>
      </c>
    </row>
    <row r="36" spans="1:8" x14ac:dyDescent="0.2">
      <c r="A36">
        <v>2</v>
      </c>
      <c r="B36" t="s">
        <v>6</v>
      </c>
      <c r="C36" t="s">
        <v>34</v>
      </c>
      <c r="D36">
        <v>3</v>
      </c>
      <c r="E36">
        <v>1</v>
      </c>
      <c r="F36" s="1">
        <v>0.1</v>
      </c>
      <c r="G36">
        <v>1</v>
      </c>
      <c r="H36">
        <v>0</v>
      </c>
    </row>
    <row r="37" spans="1:8" x14ac:dyDescent="0.2">
      <c r="A37">
        <v>2</v>
      </c>
      <c r="B37" t="s">
        <v>6</v>
      </c>
      <c r="C37" t="s">
        <v>34</v>
      </c>
      <c r="D37">
        <v>3</v>
      </c>
      <c r="E37">
        <v>2</v>
      </c>
      <c r="F37" s="1">
        <v>0.1</v>
      </c>
      <c r="G37">
        <v>1</v>
      </c>
      <c r="H37">
        <v>0</v>
      </c>
    </row>
    <row r="38" spans="1:8" x14ac:dyDescent="0.2">
      <c r="A38">
        <v>2</v>
      </c>
      <c r="B38" t="s">
        <v>6</v>
      </c>
      <c r="C38" t="s">
        <v>34</v>
      </c>
      <c r="D38">
        <v>3</v>
      </c>
      <c r="E38">
        <v>3</v>
      </c>
      <c r="F38" s="1">
        <v>0.2</v>
      </c>
      <c r="G38">
        <v>1</v>
      </c>
      <c r="H38">
        <v>0</v>
      </c>
    </row>
    <row r="39" spans="1:8" x14ac:dyDescent="0.2">
      <c r="A39">
        <v>1</v>
      </c>
      <c r="B39" t="s">
        <v>5</v>
      </c>
      <c r="C39" t="s">
        <v>37</v>
      </c>
      <c r="D39">
        <v>1</v>
      </c>
      <c r="E39">
        <v>1</v>
      </c>
      <c r="F39" s="1">
        <v>20</v>
      </c>
      <c r="G39">
        <v>1</v>
      </c>
      <c r="H39">
        <v>0</v>
      </c>
    </row>
    <row r="40" spans="1:8" x14ac:dyDescent="0.2">
      <c r="A40">
        <v>1</v>
      </c>
      <c r="B40" t="s">
        <v>5</v>
      </c>
      <c r="C40" t="s">
        <v>37</v>
      </c>
      <c r="D40">
        <v>1</v>
      </c>
      <c r="E40">
        <v>2</v>
      </c>
      <c r="F40" s="1">
        <v>20</v>
      </c>
      <c r="G40">
        <v>1</v>
      </c>
      <c r="H40">
        <v>0</v>
      </c>
    </row>
    <row r="41" spans="1:8" x14ac:dyDescent="0.2">
      <c r="A41">
        <v>1</v>
      </c>
      <c r="B41" t="s">
        <v>5</v>
      </c>
      <c r="C41" t="s">
        <v>37</v>
      </c>
      <c r="D41">
        <v>1</v>
      </c>
      <c r="E41">
        <v>3</v>
      </c>
      <c r="F41" s="1">
        <v>20</v>
      </c>
      <c r="G41">
        <v>1</v>
      </c>
      <c r="H41">
        <v>0</v>
      </c>
    </row>
    <row r="42" spans="1:8" x14ac:dyDescent="0.2">
      <c r="A42">
        <v>2</v>
      </c>
      <c r="B42" t="s">
        <v>6</v>
      </c>
      <c r="C42" t="s">
        <v>36</v>
      </c>
      <c r="D42">
        <v>1</v>
      </c>
      <c r="E42">
        <v>1</v>
      </c>
      <c r="F42" s="1">
        <v>0.1</v>
      </c>
      <c r="G42">
        <v>1</v>
      </c>
      <c r="H42">
        <v>0</v>
      </c>
    </row>
    <row r="43" spans="1:8" x14ac:dyDescent="0.2">
      <c r="A43">
        <v>2</v>
      </c>
      <c r="B43" t="s">
        <v>6</v>
      </c>
      <c r="C43" t="s">
        <v>36</v>
      </c>
      <c r="D43">
        <v>1</v>
      </c>
      <c r="E43">
        <v>2</v>
      </c>
      <c r="F43" s="1">
        <v>20</v>
      </c>
      <c r="G43">
        <v>1</v>
      </c>
      <c r="H43">
        <v>0</v>
      </c>
    </row>
    <row r="44" spans="1:8" x14ac:dyDescent="0.2">
      <c r="A44">
        <v>2</v>
      </c>
      <c r="B44" t="s">
        <v>6</v>
      </c>
      <c r="C44" t="s">
        <v>36</v>
      </c>
      <c r="D44">
        <v>1</v>
      </c>
      <c r="E44">
        <v>3</v>
      </c>
      <c r="F44" s="1">
        <v>20</v>
      </c>
      <c r="G44">
        <v>1</v>
      </c>
      <c r="H44">
        <v>0</v>
      </c>
    </row>
    <row r="45" spans="1:8" x14ac:dyDescent="0.2">
      <c r="A45">
        <v>1</v>
      </c>
      <c r="B45" t="s">
        <v>5</v>
      </c>
      <c r="C45" t="s">
        <v>38</v>
      </c>
      <c r="D45">
        <v>1</v>
      </c>
      <c r="E45">
        <v>1</v>
      </c>
      <c r="F45" s="1">
        <v>12</v>
      </c>
      <c r="G45">
        <v>1</v>
      </c>
      <c r="H45">
        <v>0</v>
      </c>
    </row>
    <row r="46" spans="1:8" x14ac:dyDescent="0.2">
      <c r="A46">
        <v>1</v>
      </c>
      <c r="B46" t="s">
        <v>5</v>
      </c>
      <c r="C46" t="s">
        <v>38</v>
      </c>
      <c r="D46">
        <v>1</v>
      </c>
      <c r="E46">
        <v>2</v>
      </c>
      <c r="F46" s="1">
        <v>0.1</v>
      </c>
      <c r="G46">
        <v>1</v>
      </c>
      <c r="H46">
        <v>0</v>
      </c>
    </row>
    <row r="47" spans="1:8" x14ac:dyDescent="0.2">
      <c r="A47">
        <v>1</v>
      </c>
      <c r="B47" t="s">
        <v>5</v>
      </c>
      <c r="C47" t="s">
        <v>38</v>
      </c>
      <c r="D47">
        <v>1</v>
      </c>
      <c r="E47">
        <v>3</v>
      </c>
      <c r="F47" s="1">
        <v>0.1</v>
      </c>
      <c r="G47">
        <v>1</v>
      </c>
      <c r="H47">
        <v>0</v>
      </c>
    </row>
    <row r="48" spans="1:8" x14ac:dyDescent="0.2">
      <c r="A48">
        <v>2</v>
      </c>
      <c r="B48" t="s">
        <v>6</v>
      </c>
      <c r="C48" t="s">
        <v>37</v>
      </c>
      <c r="D48">
        <v>1</v>
      </c>
      <c r="E48">
        <v>1</v>
      </c>
      <c r="F48" s="1">
        <v>20</v>
      </c>
      <c r="G48">
        <v>1</v>
      </c>
      <c r="H48">
        <v>0</v>
      </c>
    </row>
    <row r="49" spans="1:8" x14ac:dyDescent="0.2">
      <c r="A49">
        <v>2</v>
      </c>
      <c r="B49" t="s">
        <v>6</v>
      </c>
      <c r="C49" t="s">
        <v>37</v>
      </c>
      <c r="D49">
        <v>1</v>
      </c>
      <c r="E49">
        <v>2</v>
      </c>
      <c r="F49" s="1">
        <v>20</v>
      </c>
      <c r="G49">
        <v>1</v>
      </c>
      <c r="H49">
        <v>0</v>
      </c>
    </row>
    <row r="50" spans="1:8" x14ac:dyDescent="0.2">
      <c r="A50">
        <v>2</v>
      </c>
      <c r="B50" t="s">
        <v>6</v>
      </c>
      <c r="C50" t="s">
        <v>37</v>
      </c>
      <c r="D50">
        <v>1</v>
      </c>
      <c r="E50">
        <v>3</v>
      </c>
      <c r="F50" s="1">
        <v>20</v>
      </c>
      <c r="G50">
        <v>1</v>
      </c>
      <c r="H50">
        <v>0</v>
      </c>
    </row>
    <row r="51" spans="1:8" x14ac:dyDescent="0.2">
      <c r="A51">
        <v>2</v>
      </c>
      <c r="B51" t="s">
        <v>6</v>
      </c>
      <c r="C51" t="s">
        <v>38</v>
      </c>
      <c r="D51">
        <v>1</v>
      </c>
      <c r="E51">
        <v>1</v>
      </c>
      <c r="F51" s="2">
        <v>1E-3</v>
      </c>
      <c r="G51">
        <v>1</v>
      </c>
      <c r="H51">
        <v>0</v>
      </c>
    </row>
    <row r="52" spans="1:8" x14ac:dyDescent="0.2">
      <c r="A52">
        <v>2</v>
      </c>
      <c r="B52" t="s">
        <v>6</v>
      </c>
      <c r="C52" t="s">
        <v>38</v>
      </c>
      <c r="D52">
        <v>1</v>
      </c>
      <c r="E52">
        <v>2</v>
      </c>
      <c r="F52" s="1">
        <v>0.02</v>
      </c>
      <c r="G52">
        <v>1</v>
      </c>
      <c r="H52">
        <v>0</v>
      </c>
    </row>
    <row r="53" spans="1:8" x14ac:dyDescent="0.2">
      <c r="A53">
        <v>2</v>
      </c>
      <c r="B53" t="s">
        <v>6</v>
      </c>
      <c r="C53" t="s">
        <v>38</v>
      </c>
      <c r="D53">
        <v>1</v>
      </c>
      <c r="E53">
        <v>3</v>
      </c>
      <c r="F53" s="1">
        <v>0.03</v>
      </c>
      <c r="G53">
        <v>1</v>
      </c>
      <c r="H5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12A1-D340-224F-9DCF-FE1315155B5C}">
  <dimension ref="A3:H8"/>
  <sheetViews>
    <sheetView workbookViewId="0">
      <selection activeCell="K18" sqref="K18"/>
    </sheetView>
  </sheetViews>
  <sheetFormatPr baseColWidth="10" defaultRowHeight="16" x14ac:dyDescent="0.2"/>
  <cols>
    <col min="1" max="1" width="18.6640625" bestFit="1" customWidth="1"/>
    <col min="2" max="2" width="16" bestFit="1" customWidth="1"/>
    <col min="3" max="3" width="12.1640625" bestFit="1" customWidth="1"/>
    <col min="4" max="4" width="5.6640625" bestFit="1" customWidth="1"/>
    <col min="5" max="6" width="12.1640625" bestFit="1" customWidth="1"/>
    <col min="7" max="7" width="7" bestFit="1" customWidth="1"/>
    <col min="8" max="8" width="12.1640625" bestFit="1" customWidth="1"/>
  </cols>
  <sheetData>
    <row r="3" spans="1:8" x14ac:dyDescent="0.2">
      <c r="A3" s="3" t="s">
        <v>48</v>
      </c>
      <c r="B3" s="3" t="s">
        <v>47</v>
      </c>
    </row>
    <row r="4" spans="1:8" x14ac:dyDescent="0.2">
      <c r="A4" s="3" t="s">
        <v>44</v>
      </c>
      <c r="B4" t="s">
        <v>32</v>
      </c>
      <c r="C4" t="s">
        <v>36</v>
      </c>
      <c r="D4" t="s">
        <v>37</v>
      </c>
      <c r="E4" t="s">
        <v>34</v>
      </c>
      <c r="F4" t="s">
        <v>38</v>
      </c>
      <c r="G4" t="s">
        <v>45</v>
      </c>
      <c r="H4" t="s">
        <v>46</v>
      </c>
    </row>
    <row r="5" spans="1:8" x14ac:dyDescent="0.2">
      <c r="A5" s="4" t="s">
        <v>6</v>
      </c>
      <c r="B5">
        <v>27.395555555555557</v>
      </c>
      <c r="C5">
        <v>13.366666666666667</v>
      </c>
      <c r="D5">
        <v>20</v>
      </c>
      <c r="E5">
        <v>6.9777777777777779</v>
      </c>
      <c r="F5">
        <v>1.7000000000000001E-2</v>
      </c>
      <c r="H5">
        <v>15.167074074074071</v>
      </c>
    </row>
    <row r="6" spans="1:8" x14ac:dyDescent="0.2">
      <c r="A6" s="4" t="s">
        <v>5</v>
      </c>
      <c r="B6">
        <v>22.53833333333333</v>
      </c>
      <c r="C6">
        <v>13.033333333333333</v>
      </c>
      <c r="D6">
        <v>20</v>
      </c>
      <c r="E6">
        <v>1.9333333333333336</v>
      </c>
      <c r="F6">
        <v>4.0666666666666664</v>
      </c>
      <c r="H6">
        <v>10.997083333333336</v>
      </c>
    </row>
    <row r="7" spans="1:8" x14ac:dyDescent="0.2">
      <c r="A7" s="4" t="s">
        <v>45</v>
      </c>
    </row>
    <row r="8" spans="1:8" x14ac:dyDescent="0.2">
      <c r="A8" s="4" t="s">
        <v>46</v>
      </c>
      <c r="B8">
        <v>25.452666666666669</v>
      </c>
      <c r="C8">
        <v>13.200000000000001</v>
      </c>
      <c r="D8">
        <v>20</v>
      </c>
      <c r="E8">
        <v>4.4555555555555557</v>
      </c>
      <c r="F8">
        <v>2.0418333333333334</v>
      </c>
      <c r="H8">
        <v>13.204725490196079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0F4B-8AD9-6843-957A-20DC7B18033D}">
  <dimension ref="A1:C14"/>
  <sheetViews>
    <sheetView workbookViewId="0">
      <selection activeCell="C14" sqref="A1:C14"/>
    </sheetView>
  </sheetViews>
  <sheetFormatPr baseColWidth="10" defaultRowHeight="16" x14ac:dyDescent="0.2"/>
  <cols>
    <col min="1" max="1" width="30.33203125" bestFit="1" customWidth="1"/>
  </cols>
  <sheetData>
    <row r="1" spans="1:3" x14ac:dyDescent="0.2">
      <c r="A1" t="s">
        <v>80</v>
      </c>
    </row>
    <row r="2" spans="1:3" ht="17" thickBot="1" x14ac:dyDescent="0.25"/>
    <row r="3" spans="1:3" x14ac:dyDescent="0.2">
      <c r="A3" s="11"/>
      <c r="B3" s="11" t="s">
        <v>81</v>
      </c>
      <c r="C3" s="11" t="s">
        <v>82</v>
      </c>
    </row>
    <row r="4" spans="1:3" x14ac:dyDescent="0.2">
      <c r="A4" s="9" t="s">
        <v>83</v>
      </c>
      <c r="B4" s="9">
        <v>22.100249999999999</v>
      </c>
      <c r="C4" s="9">
        <v>23.369999999999997</v>
      </c>
    </row>
    <row r="5" spans="1:3" x14ac:dyDescent="0.2">
      <c r="A5" s="9" t="s">
        <v>84</v>
      </c>
      <c r="B5" s="9">
        <v>40.130484687499916</v>
      </c>
      <c r="C5" s="9">
        <v>47.882000000000062</v>
      </c>
    </row>
    <row r="6" spans="1:3" x14ac:dyDescent="0.2">
      <c r="A6" s="9" t="s">
        <v>85</v>
      </c>
      <c r="B6" s="9">
        <v>5</v>
      </c>
      <c r="C6" s="9">
        <v>5</v>
      </c>
    </row>
    <row r="7" spans="1:3" x14ac:dyDescent="0.2">
      <c r="A7" s="9" t="s">
        <v>86</v>
      </c>
      <c r="B7" s="9">
        <v>0.96986782274936845</v>
      </c>
      <c r="C7" s="9"/>
    </row>
    <row r="8" spans="1:3" x14ac:dyDescent="0.2">
      <c r="A8" s="9" t="s">
        <v>87</v>
      </c>
      <c r="B8" s="9">
        <v>0</v>
      </c>
      <c r="C8" s="9"/>
    </row>
    <row r="9" spans="1:3" x14ac:dyDescent="0.2">
      <c r="A9" s="9" t="s">
        <v>88</v>
      </c>
      <c r="B9" s="9">
        <v>4</v>
      </c>
      <c r="C9" s="9"/>
    </row>
    <row r="10" spans="1:3" x14ac:dyDescent="0.2">
      <c r="A10" s="9" t="s">
        <v>89</v>
      </c>
      <c r="B10" s="9">
        <v>-1.6437073101825384</v>
      </c>
      <c r="C10" s="9"/>
    </row>
    <row r="11" spans="1:3" x14ac:dyDescent="0.2">
      <c r="A11" s="9" t="s">
        <v>90</v>
      </c>
      <c r="B11" s="9">
        <v>8.7790841794832819E-2</v>
      </c>
      <c r="C11" s="9"/>
    </row>
    <row r="12" spans="1:3" x14ac:dyDescent="0.2">
      <c r="A12" s="9" t="s">
        <v>91</v>
      </c>
      <c r="B12" s="9">
        <v>2.1318467863266499</v>
      </c>
      <c r="C12" s="9"/>
    </row>
    <row r="13" spans="1:3" x14ac:dyDescent="0.2">
      <c r="A13" s="9" t="s">
        <v>92</v>
      </c>
      <c r="B13" s="9">
        <v>0.17558168358966564</v>
      </c>
      <c r="C13" s="9"/>
    </row>
    <row r="14" spans="1:3" ht="17" thickBot="1" x14ac:dyDescent="0.25">
      <c r="A14" s="10" t="s">
        <v>93</v>
      </c>
      <c r="B14" s="10">
        <v>2.7764451051977934</v>
      </c>
      <c r="C14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5DB2-569C-DD40-9C13-1EDF38287245}">
  <dimension ref="A1:M74"/>
  <sheetViews>
    <sheetView tabSelected="1" workbookViewId="0">
      <selection activeCell="K13" sqref="K13"/>
    </sheetView>
  </sheetViews>
  <sheetFormatPr baseColWidth="10" defaultRowHeight="16" x14ac:dyDescent="0.2"/>
  <cols>
    <col min="10" max="10" width="15" bestFit="1" customWidth="1"/>
  </cols>
  <sheetData>
    <row r="1" spans="1:11" x14ac:dyDescent="0.2">
      <c r="A1" s="5"/>
      <c r="B1" s="5"/>
      <c r="C1" s="5"/>
      <c r="D1" s="5"/>
      <c r="E1" s="5"/>
      <c r="F1" s="5"/>
      <c r="G1" s="6"/>
      <c r="H1" s="5"/>
      <c r="I1" s="5"/>
      <c r="J1" s="5"/>
      <c r="K1" s="5"/>
    </row>
    <row r="2" spans="1:11" x14ac:dyDescent="0.2">
      <c r="A2" s="5" t="s">
        <v>27</v>
      </c>
      <c r="B2" s="5" t="s">
        <v>3</v>
      </c>
      <c r="C2" s="5" t="s">
        <v>28</v>
      </c>
      <c r="D2" s="5" t="s">
        <v>29</v>
      </c>
      <c r="E2" s="5" t="s">
        <v>58</v>
      </c>
      <c r="F2" s="5" t="s">
        <v>30</v>
      </c>
      <c r="G2" s="6" t="s">
        <v>33</v>
      </c>
      <c r="H2" s="5" t="s">
        <v>65</v>
      </c>
      <c r="I2" s="5" t="s">
        <v>31</v>
      </c>
      <c r="J2" s="5"/>
      <c r="K2" s="5"/>
    </row>
    <row r="3" spans="1:11" x14ac:dyDescent="0.2">
      <c r="A3" s="5">
        <v>1</v>
      </c>
      <c r="B3" s="5" t="s">
        <v>5</v>
      </c>
      <c r="C3" s="5" t="s">
        <v>49</v>
      </c>
      <c r="D3" s="5"/>
      <c r="E3" s="5" t="s">
        <v>59</v>
      </c>
      <c r="F3" s="5">
        <v>1</v>
      </c>
      <c r="G3" s="6">
        <v>20</v>
      </c>
      <c r="H3" s="5">
        <v>1</v>
      </c>
      <c r="I3" s="5">
        <v>1</v>
      </c>
      <c r="J3" s="5"/>
      <c r="K3" s="5"/>
    </row>
    <row r="4" spans="1:11" x14ac:dyDescent="0.2">
      <c r="A4" s="5">
        <v>1</v>
      </c>
      <c r="B4" s="5" t="s">
        <v>5</v>
      </c>
      <c r="C4" s="5" t="s">
        <v>49</v>
      </c>
      <c r="D4" s="5"/>
      <c r="E4" s="5" t="s">
        <v>59</v>
      </c>
      <c r="F4" s="5">
        <v>2</v>
      </c>
      <c r="G4" s="6">
        <v>19.03</v>
      </c>
      <c r="H4" s="5">
        <v>1</v>
      </c>
      <c r="I4" s="5">
        <v>1</v>
      </c>
      <c r="J4" s="5" t="s">
        <v>71</v>
      </c>
      <c r="K4" s="5">
        <f>COUNTIFS($E$3:$E$74,$E$3,$H$3:$H$74,$H$3)</f>
        <v>24</v>
      </c>
    </row>
    <row r="5" spans="1:11" x14ac:dyDescent="0.2">
      <c r="A5" s="5">
        <v>1</v>
      </c>
      <c r="B5" s="5" t="s">
        <v>5</v>
      </c>
      <c r="C5" s="5" t="s">
        <v>49</v>
      </c>
      <c r="D5" s="5"/>
      <c r="E5" s="5" t="s">
        <v>60</v>
      </c>
      <c r="F5" s="5">
        <v>3</v>
      </c>
      <c r="G5" s="6">
        <v>19</v>
      </c>
      <c r="H5" s="5">
        <v>1</v>
      </c>
      <c r="I5" s="5">
        <v>0</v>
      </c>
      <c r="J5" s="5" t="s">
        <v>72</v>
      </c>
      <c r="K5" s="5">
        <f>COUNTIFS($E$3:$E$74,$E$3,$H$3:$H$74,$H$10)</f>
        <v>0</v>
      </c>
    </row>
    <row r="6" spans="1:11" x14ac:dyDescent="0.2">
      <c r="A6" s="5">
        <v>1</v>
      </c>
      <c r="B6" s="5" t="s">
        <v>5</v>
      </c>
      <c r="C6" s="5" t="s">
        <v>49</v>
      </c>
      <c r="D6" s="5"/>
      <c r="E6" s="5" t="s">
        <v>60</v>
      </c>
      <c r="F6" s="5">
        <v>4</v>
      </c>
      <c r="G6" s="6">
        <v>18</v>
      </c>
      <c r="H6" s="5">
        <v>1</v>
      </c>
      <c r="I6" s="5">
        <v>0</v>
      </c>
      <c r="J6" s="5" t="s">
        <v>73</v>
      </c>
      <c r="K6" s="5">
        <f>COUNTIFS($E$3:$E$74,$E$5,$H$3:$H$74,$H$3)</f>
        <v>6</v>
      </c>
    </row>
    <row r="7" spans="1:11" x14ac:dyDescent="0.2">
      <c r="A7" s="5">
        <v>2</v>
      </c>
      <c r="B7" s="5" t="s">
        <v>6</v>
      </c>
      <c r="C7" s="5" t="s">
        <v>49</v>
      </c>
      <c r="D7" s="5"/>
      <c r="E7" s="5" t="s">
        <v>59</v>
      </c>
      <c r="F7" s="5">
        <v>1</v>
      </c>
      <c r="G7" s="6">
        <v>23</v>
      </c>
      <c r="H7" s="5">
        <v>1</v>
      </c>
      <c r="I7" s="5">
        <v>1</v>
      </c>
      <c r="J7" s="5" t="s">
        <v>74</v>
      </c>
      <c r="K7" s="5">
        <f>COUNTIFS($E$3:$E$74,$E$5,$H$3:$H$74,$H$10)</f>
        <v>18</v>
      </c>
    </row>
    <row r="8" spans="1:11" x14ac:dyDescent="0.2">
      <c r="A8" s="5">
        <v>2</v>
      </c>
      <c r="B8" s="5" t="s">
        <v>6</v>
      </c>
      <c r="C8" s="5" t="s">
        <v>49</v>
      </c>
      <c r="D8" s="5"/>
      <c r="E8" s="5" t="s">
        <v>59</v>
      </c>
      <c r="F8" s="5">
        <v>2</v>
      </c>
      <c r="G8" s="6">
        <v>15</v>
      </c>
      <c r="H8" s="5">
        <v>1</v>
      </c>
      <c r="I8" s="5">
        <v>1</v>
      </c>
      <c r="J8" t="s">
        <v>94</v>
      </c>
      <c r="K8" s="5">
        <f>COUNTIFS($E$3:$E$74,$E$33,$H$3:$H$74,$H$3)</f>
        <v>5</v>
      </c>
    </row>
    <row r="9" spans="1:11" x14ac:dyDescent="0.2">
      <c r="A9" s="5">
        <v>2</v>
      </c>
      <c r="B9" s="5" t="s">
        <v>6</v>
      </c>
      <c r="C9" s="5" t="s">
        <v>49</v>
      </c>
      <c r="D9" s="5"/>
      <c r="E9" s="5" t="s">
        <v>60</v>
      </c>
      <c r="F9" s="5">
        <v>3</v>
      </c>
      <c r="G9" s="6">
        <v>12</v>
      </c>
      <c r="H9" s="5">
        <v>1</v>
      </c>
      <c r="I9" s="5">
        <v>0</v>
      </c>
      <c r="J9" t="s">
        <v>95</v>
      </c>
      <c r="K9" s="5">
        <f>COUNTIFS($E$3:$E$74,$E$33,$H$3:$H$74,$H$10)</f>
        <v>3</v>
      </c>
    </row>
    <row r="10" spans="1:11" x14ac:dyDescent="0.2">
      <c r="A10" s="5">
        <v>2</v>
      </c>
      <c r="B10" s="5" t="s">
        <v>6</v>
      </c>
      <c r="C10" s="5" t="s">
        <v>49</v>
      </c>
      <c r="D10" s="5"/>
      <c r="E10" s="5" t="s">
        <v>60</v>
      </c>
      <c r="F10" s="5">
        <v>4</v>
      </c>
      <c r="G10" s="6">
        <v>30</v>
      </c>
      <c r="H10" s="5">
        <v>0</v>
      </c>
      <c r="I10" s="5">
        <v>1</v>
      </c>
      <c r="J10" t="s">
        <v>96</v>
      </c>
      <c r="K10" s="5">
        <f>COUNTIFS($E$3:$E$74,E34,$H$3:$H$74,$H$3)</f>
        <v>7</v>
      </c>
    </row>
    <row r="11" spans="1:11" x14ac:dyDescent="0.2">
      <c r="A11" s="5">
        <v>1</v>
      </c>
      <c r="B11" s="5" t="s">
        <v>5</v>
      </c>
      <c r="C11" s="5" t="s">
        <v>50</v>
      </c>
      <c r="D11" s="5"/>
      <c r="E11" s="5" t="s">
        <v>59</v>
      </c>
      <c r="F11" s="5">
        <v>1</v>
      </c>
      <c r="G11" s="6">
        <v>13</v>
      </c>
      <c r="H11" s="5">
        <v>1</v>
      </c>
      <c r="I11" s="5">
        <v>1</v>
      </c>
      <c r="J11" t="s">
        <v>97</v>
      </c>
      <c r="K11" s="5">
        <f>COUNTIFS($E$3:$E$74,$E$34,$H$3:$H$74,$H$10)</f>
        <v>1</v>
      </c>
    </row>
    <row r="12" spans="1:11" x14ac:dyDescent="0.2">
      <c r="A12" s="5">
        <v>1</v>
      </c>
      <c r="B12" s="5" t="s">
        <v>5</v>
      </c>
      <c r="C12" s="5" t="s">
        <v>50</v>
      </c>
      <c r="D12" s="5"/>
      <c r="E12" s="5" t="s">
        <v>59</v>
      </c>
      <c r="F12" s="5">
        <v>2</v>
      </c>
      <c r="G12" s="6">
        <v>23</v>
      </c>
      <c r="H12" s="5">
        <v>1</v>
      </c>
      <c r="I12" s="5">
        <v>1</v>
      </c>
      <c r="J12" t="s">
        <v>98</v>
      </c>
      <c r="K12" s="5">
        <f>COUNTIFS($E$3:$E$74,$E$35,$H$3:$H$74,$H$3)</f>
        <v>3</v>
      </c>
    </row>
    <row r="13" spans="1:11" x14ac:dyDescent="0.2">
      <c r="A13" s="5">
        <v>1</v>
      </c>
      <c r="B13" s="5" t="s">
        <v>5</v>
      </c>
      <c r="C13" s="5" t="s">
        <v>50</v>
      </c>
      <c r="D13" s="5"/>
      <c r="E13" s="5" t="s">
        <v>60</v>
      </c>
      <c r="F13" s="5">
        <v>3</v>
      </c>
      <c r="G13" s="6">
        <v>10</v>
      </c>
      <c r="H13" s="5">
        <v>1</v>
      </c>
      <c r="I13" s="5">
        <v>0</v>
      </c>
      <c r="J13" t="s">
        <v>99</v>
      </c>
      <c r="K13" s="5">
        <f>COUNTIFS($E$3:$E$74,E35,$H$3:$H$74,$H$10)</f>
        <v>5</v>
      </c>
    </row>
    <row r="14" spans="1:11" x14ac:dyDescent="0.2">
      <c r="A14" s="5">
        <v>1</v>
      </c>
      <c r="B14" s="5" t="s">
        <v>5</v>
      </c>
      <c r="C14" s="5" t="s">
        <v>54</v>
      </c>
      <c r="D14" s="5"/>
      <c r="E14" s="5" t="s">
        <v>60</v>
      </c>
      <c r="F14" s="5">
        <v>4</v>
      </c>
      <c r="G14" s="6">
        <v>30</v>
      </c>
      <c r="H14" s="5">
        <v>1</v>
      </c>
      <c r="I14" s="5">
        <v>1</v>
      </c>
    </row>
    <row r="15" spans="1:11" x14ac:dyDescent="0.2">
      <c r="A15" s="5">
        <v>2</v>
      </c>
      <c r="B15" s="5" t="s">
        <v>6</v>
      </c>
      <c r="C15" s="5" t="s">
        <v>50</v>
      </c>
      <c r="D15" s="5"/>
      <c r="E15" s="5" t="s">
        <v>59</v>
      </c>
      <c r="F15" s="5">
        <v>1</v>
      </c>
      <c r="G15" s="6">
        <v>12</v>
      </c>
      <c r="H15" s="5">
        <v>1</v>
      </c>
      <c r="I15" s="5">
        <v>1</v>
      </c>
    </row>
    <row r="16" spans="1:11" x14ac:dyDescent="0.2">
      <c r="A16" s="5">
        <v>2</v>
      </c>
      <c r="B16" s="5" t="s">
        <v>6</v>
      </c>
      <c r="C16" s="5" t="s">
        <v>50</v>
      </c>
      <c r="D16" s="5"/>
      <c r="E16" s="5" t="s">
        <v>59</v>
      </c>
      <c r="F16" s="5">
        <v>2</v>
      </c>
      <c r="G16" s="6">
        <v>15</v>
      </c>
      <c r="H16" s="5">
        <v>1</v>
      </c>
      <c r="I16" s="5">
        <v>1</v>
      </c>
    </row>
    <row r="17" spans="1:13" x14ac:dyDescent="0.2">
      <c r="A17" s="5">
        <v>2</v>
      </c>
      <c r="B17" s="5" t="s">
        <v>6</v>
      </c>
      <c r="C17" s="5" t="s">
        <v>50</v>
      </c>
      <c r="D17" s="5"/>
      <c r="E17" s="5" t="s">
        <v>60</v>
      </c>
      <c r="F17" s="5">
        <v>3</v>
      </c>
      <c r="G17" s="6">
        <v>30</v>
      </c>
      <c r="H17" s="5">
        <v>0</v>
      </c>
      <c r="I17" s="5">
        <v>1</v>
      </c>
    </row>
    <row r="18" spans="1:13" x14ac:dyDescent="0.2">
      <c r="A18" s="5">
        <v>2</v>
      </c>
      <c r="B18" s="5" t="s">
        <v>6</v>
      </c>
      <c r="C18" s="5" t="s">
        <v>50</v>
      </c>
      <c r="D18" s="5"/>
      <c r="E18" s="5" t="s">
        <v>60</v>
      </c>
      <c r="F18" s="5">
        <v>4</v>
      </c>
      <c r="G18" s="6">
        <v>30</v>
      </c>
      <c r="H18" s="5">
        <v>0</v>
      </c>
      <c r="I18" s="5">
        <v>1</v>
      </c>
      <c r="J18" s="5"/>
      <c r="K18" s="5"/>
      <c r="L18" t="s">
        <v>5</v>
      </c>
      <c r="M18" t="s">
        <v>6</v>
      </c>
    </row>
    <row r="19" spans="1:13" x14ac:dyDescent="0.2">
      <c r="A19" s="5">
        <v>1</v>
      </c>
      <c r="B19" s="5" t="s">
        <v>5</v>
      </c>
      <c r="C19" s="5" t="s">
        <v>51</v>
      </c>
      <c r="D19" s="5"/>
      <c r="E19" s="5" t="s">
        <v>59</v>
      </c>
      <c r="F19" s="5">
        <v>1</v>
      </c>
      <c r="G19" s="6">
        <v>13</v>
      </c>
      <c r="H19" s="5">
        <v>1</v>
      </c>
      <c r="I19" s="5">
        <v>1</v>
      </c>
      <c r="J19" s="5" t="s">
        <v>66</v>
      </c>
      <c r="K19" s="5">
        <f>AVERAGEIF($E$3:$E$74,$E$3,$G$3:$G$74)</f>
        <v>13.376249999999999</v>
      </c>
      <c r="L19" s="5">
        <f>AVERAGEIFS($G$3:$G$74,$B$3:$B$74,$B$3,$E$3:$E$74,$E3)</f>
        <v>14.073571428571428</v>
      </c>
      <c r="M19" s="5">
        <f>AVERAGEIFS($G$3:$G$74,$B$3:$B$74,$B$7,$E$3:$E$74,$E3)</f>
        <v>12.4</v>
      </c>
    </row>
    <row r="20" spans="1:13" x14ac:dyDescent="0.2">
      <c r="A20" s="5">
        <v>1</v>
      </c>
      <c r="B20" s="5" t="s">
        <v>5</v>
      </c>
      <c r="C20" s="5" t="s">
        <v>51</v>
      </c>
      <c r="D20" s="5"/>
      <c r="E20" s="5" t="s">
        <v>59</v>
      </c>
      <c r="F20" s="5">
        <v>2</v>
      </c>
      <c r="G20" s="6">
        <v>11</v>
      </c>
      <c r="H20" s="5">
        <v>1</v>
      </c>
      <c r="I20" s="5">
        <v>1</v>
      </c>
      <c r="J20" s="5" t="s">
        <v>67</v>
      </c>
      <c r="K20" s="5">
        <f>AVERAGEIF($E$3:$E$74,E5,$G$3:$G$74)</f>
        <v>27.25</v>
      </c>
      <c r="L20" s="5">
        <f>AVERAGEIFS($G$3:$G$74,$B$3:$B$74,$B$3,$E$3:$E$74,$E5)</f>
        <v>26.571428571428573</v>
      </c>
      <c r="M20" s="5">
        <f>AVERAGEIFS($G$3:$G$74,$B$3:$B$74,$B$7,$E$3:$E$74,$E5)</f>
        <v>28.2</v>
      </c>
    </row>
    <row r="21" spans="1:13" x14ac:dyDescent="0.2">
      <c r="A21" s="5">
        <v>1</v>
      </c>
      <c r="B21" s="5" t="s">
        <v>5</v>
      </c>
      <c r="C21" s="5" t="s">
        <v>51</v>
      </c>
      <c r="D21" s="5"/>
      <c r="E21" s="5" t="s">
        <v>60</v>
      </c>
      <c r="F21" s="5">
        <v>3</v>
      </c>
      <c r="G21" s="6">
        <v>30</v>
      </c>
      <c r="H21" s="5">
        <v>0</v>
      </c>
      <c r="I21" s="5">
        <v>1</v>
      </c>
      <c r="J21" s="5" t="s">
        <v>68</v>
      </c>
      <c r="K21" s="5">
        <f>AVERAGEIF($E$3:$E$74,E33,$G$3:$G$74)</f>
        <v>20.75</v>
      </c>
      <c r="L21" s="5">
        <f>AVERAGEIFS($G$3:$G$74,$B$3:$B$74,$B$3,$E$3:$E$74,$E33)</f>
        <v>17</v>
      </c>
      <c r="M21" s="5">
        <f>AVERAGEIFS($G$3:$G$74,$B$3:$B$74,$B$7,$E$3:$E$74,$E33)</f>
        <v>24.5</v>
      </c>
    </row>
    <row r="22" spans="1:13" x14ac:dyDescent="0.2">
      <c r="A22" s="5">
        <v>1</v>
      </c>
      <c r="B22" s="5" t="s">
        <v>5</v>
      </c>
      <c r="C22" s="5" t="s">
        <v>64</v>
      </c>
      <c r="D22" s="5"/>
      <c r="E22" s="5" t="s">
        <v>60</v>
      </c>
      <c r="F22" s="5">
        <v>4</v>
      </c>
      <c r="G22" s="6">
        <v>30</v>
      </c>
      <c r="H22" s="5">
        <v>0</v>
      </c>
      <c r="I22" s="5">
        <v>1</v>
      </c>
      <c r="J22" s="5" t="s">
        <v>69</v>
      </c>
      <c r="K22" s="5">
        <f>AVERAGEIF($E$3:$E$74,E34,$G$3:$G$74)</f>
        <v>19.875</v>
      </c>
      <c r="L22" s="5">
        <f>AVERAGEIFS($G$3:$G$74,$B$3:$B$74,$B$3,$E$3:$E$74,$E34)</f>
        <v>18</v>
      </c>
      <c r="M22" s="5">
        <f>AVERAGEIFS($G$3:$G$74,$B$3:$B$74,$B$7,$E$3:$E$74,$E34)</f>
        <v>21.75</v>
      </c>
    </row>
    <row r="23" spans="1:13" x14ac:dyDescent="0.2">
      <c r="A23" s="5">
        <v>2</v>
      </c>
      <c r="B23" s="5" t="s">
        <v>6</v>
      </c>
      <c r="C23" s="5" t="s">
        <v>52</v>
      </c>
      <c r="D23" s="5"/>
      <c r="E23" s="5" t="s">
        <v>59</v>
      </c>
      <c r="F23" s="5">
        <v>1</v>
      </c>
      <c r="G23" s="6">
        <v>11</v>
      </c>
      <c r="H23" s="5">
        <v>1</v>
      </c>
      <c r="I23" s="5">
        <v>1</v>
      </c>
      <c r="J23" s="5" t="s">
        <v>70</v>
      </c>
      <c r="K23" s="5">
        <f>AVERAGEIF($E$3:$E$74,E35,$G$3:$G$74)</f>
        <v>29.25</v>
      </c>
      <c r="L23" s="5">
        <f>AVERAGEIFS($G$3:$G$74,$B$3:$B$74,$B$3,$E$3:$E$74,$E35)</f>
        <v>28.5</v>
      </c>
      <c r="M23" s="5">
        <f>AVERAGEIFS($G$3:$G$74,$B$3:$B$74,$B$7,$E$3:$E$74,$E35)</f>
        <v>30</v>
      </c>
    </row>
    <row r="24" spans="1:13" x14ac:dyDescent="0.2">
      <c r="A24" s="5">
        <v>2</v>
      </c>
      <c r="B24" s="5" t="s">
        <v>6</v>
      </c>
      <c r="C24" s="5" t="s">
        <v>52</v>
      </c>
      <c r="D24" s="5"/>
      <c r="E24" s="5" t="s">
        <v>60</v>
      </c>
      <c r="F24" s="5">
        <v>2</v>
      </c>
      <c r="G24" s="6">
        <v>30</v>
      </c>
      <c r="H24" s="5">
        <v>0</v>
      </c>
      <c r="I24" s="5">
        <v>1</v>
      </c>
      <c r="J24" s="5"/>
      <c r="K24" s="5"/>
    </row>
    <row r="25" spans="1:13" x14ac:dyDescent="0.2">
      <c r="A25" s="5">
        <v>2</v>
      </c>
      <c r="B25" s="5" t="s">
        <v>6</v>
      </c>
      <c r="C25" s="5" t="s">
        <v>52</v>
      </c>
      <c r="D25" s="5"/>
      <c r="E25" s="5" t="s">
        <v>59</v>
      </c>
      <c r="F25" s="5">
        <v>3</v>
      </c>
      <c r="G25" s="6">
        <v>9</v>
      </c>
      <c r="H25" s="5">
        <v>1</v>
      </c>
      <c r="I25" s="5">
        <v>1</v>
      </c>
      <c r="J25" s="5"/>
      <c r="K25" t="s">
        <v>80</v>
      </c>
    </row>
    <row r="26" spans="1:13" ht="17" thickBot="1" x14ac:dyDescent="0.25">
      <c r="A26" s="5">
        <v>2</v>
      </c>
      <c r="B26" s="5" t="s">
        <v>6</v>
      </c>
      <c r="C26" s="5" t="s">
        <v>52</v>
      </c>
      <c r="D26" s="5"/>
      <c r="E26" s="5" t="s">
        <v>60</v>
      </c>
      <c r="F26" s="5">
        <v>4</v>
      </c>
      <c r="G26" s="6">
        <v>30</v>
      </c>
      <c r="H26" s="5">
        <v>0</v>
      </c>
      <c r="I26" s="5">
        <v>1</v>
      </c>
      <c r="J26" s="5"/>
    </row>
    <row r="27" spans="1:13" x14ac:dyDescent="0.2">
      <c r="A27" s="5">
        <v>1</v>
      </c>
      <c r="B27" s="5" t="s">
        <v>5</v>
      </c>
      <c r="C27" s="5" t="s">
        <v>52</v>
      </c>
      <c r="D27" s="5"/>
      <c r="E27" s="5" t="s">
        <v>59</v>
      </c>
      <c r="F27" s="5">
        <v>1</v>
      </c>
      <c r="G27" s="6">
        <v>18</v>
      </c>
      <c r="H27" s="5">
        <v>1</v>
      </c>
      <c r="I27" s="5">
        <v>1</v>
      </c>
      <c r="J27" s="5"/>
      <c r="K27" s="11"/>
      <c r="L27" s="11" t="s">
        <v>81</v>
      </c>
      <c r="M27" s="11" t="s">
        <v>82</v>
      </c>
    </row>
    <row r="28" spans="1:13" x14ac:dyDescent="0.2">
      <c r="A28" s="5">
        <v>1</v>
      </c>
      <c r="B28" s="5" t="s">
        <v>5</v>
      </c>
      <c r="C28" s="5" t="s">
        <v>52</v>
      </c>
      <c r="D28" s="5"/>
      <c r="E28" s="5" t="s">
        <v>60</v>
      </c>
      <c r="F28" s="5">
        <v>2</v>
      </c>
      <c r="G28" s="6">
        <v>30</v>
      </c>
      <c r="H28" s="5">
        <v>0</v>
      </c>
      <c r="I28" s="5">
        <v>1</v>
      </c>
      <c r="J28" s="5"/>
      <c r="K28" s="9" t="s">
        <v>83</v>
      </c>
      <c r="L28" s="9">
        <v>22.100249999999999</v>
      </c>
      <c r="M28" s="9">
        <v>23.369999999999997</v>
      </c>
    </row>
    <row r="29" spans="1:13" x14ac:dyDescent="0.2">
      <c r="A29" s="5">
        <v>1</v>
      </c>
      <c r="B29" s="5" t="s">
        <v>5</v>
      </c>
      <c r="C29" s="5" t="s">
        <v>52</v>
      </c>
      <c r="D29" s="5"/>
      <c r="E29" s="5" t="s">
        <v>59</v>
      </c>
      <c r="F29" s="5">
        <v>3</v>
      </c>
      <c r="G29" s="6">
        <v>12</v>
      </c>
      <c r="H29" s="5">
        <v>1</v>
      </c>
      <c r="I29" s="5">
        <v>1</v>
      </c>
      <c r="J29" s="5"/>
      <c r="K29" s="9" t="s">
        <v>84</v>
      </c>
      <c r="L29" s="9">
        <v>40.130484687499916</v>
      </c>
      <c r="M29" s="9">
        <v>47.882000000000062</v>
      </c>
    </row>
    <row r="30" spans="1:13" x14ac:dyDescent="0.2">
      <c r="A30" s="5">
        <v>1</v>
      </c>
      <c r="B30" s="5" t="s">
        <v>5</v>
      </c>
      <c r="C30" s="5" t="s">
        <v>52</v>
      </c>
      <c r="D30" s="5"/>
      <c r="E30" s="5" t="s">
        <v>60</v>
      </c>
      <c r="F30" s="5">
        <v>4</v>
      </c>
      <c r="G30" s="6">
        <v>25</v>
      </c>
      <c r="H30" s="5">
        <v>1</v>
      </c>
      <c r="I30" s="5">
        <v>0</v>
      </c>
      <c r="J30" s="5"/>
      <c r="K30" s="9" t="s">
        <v>85</v>
      </c>
      <c r="L30" s="9">
        <v>5</v>
      </c>
      <c r="M30" s="9">
        <v>5</v>
      </c>
    </row>
    <row r="31" spans="1:13" x14ac:dyDescent="0.2">
      <c r="A31" s="5">
        <v>2</v>
      </c>
      <c r="B31" s="5" t="s">
        <v>6</v>
      </c>
      <c r="C31" s="5" t="s">
        <v>53</v>
      </c>
      <c r="D31" s="5"/>
      <c r="E31" s="5" t="s">
        <v>59</v>
      </c>
      <c r="F31" s="5">
        <v>1</v>
      </c>
      <c r="G31" s="6">
        <v>8</v>
      </c>
      <c r="H31" s="5">
        <v>1</v>
      </c>
      <c r="I31" s="5"/>
      <c r="J31" s="5"/>
      <c r="K31" s="9" t="s">
        <v>86</v>
      </c>
      <c r="L31" s="9">
        <v>0.96986782274936845</v>
      </c>
      <c r="M31" s="9"/>
    </row>
    <row r="32" spans="1:13" x14ac:dyDescent="0.2">
      <c r="A32" s="5">
        <v>2</v>
      </c>
      <c r="B32" s="5" t="s">
        <v>6</v>
      </c>
      <c r="C32" s="5" t="s">
        <v>53</v>
      </c>
      <c r="D32" s="5"/>
      <c r="E32" s="5" t="s">
        <v>60</v>
      </c>
      <c r="F32" s="5">
        <v>2</v>
      </c>
      <c r="G32" s="6">
        <v>30</v>
      </c>
      <c r="H32" s="5">
        <v>0</v>
      </c>
      <c r="I32" s="5"/>
      <c r="J32" s="5"/>
      <c r="K32" s="9" t="s">
        <v>87</v>
      </c>
      <c r="L32" s="9">
        <v>0</v>
      </c>
      <c r="M32" s="9"/>
    </row>
    <row r="33" spans="1:13" x14ac:dyDescent="0.2">
      <c r="A33" s="5">
        <v>2</v>
      </c>
      <c r="B33" s="5" t="s">
        <v>6</v>
      </c>
      <c r="C33" s="5" t="s">
        <v>53</v>
      </c>
      <c r="D33" s="5"/>
      <c r="E33" s="5" t="s">
        <v>61</v>
      </c>
      <c r="F33" s="5">
        <v>3</v>
      </c>
      <c r="G33" s="6">
        <v>23</v>
      </c>
      <c r="H33" s="5">
        <v>1</v>
      </c>
      <c r="I33" s="5"/>
      <c r="J33" s="5"/>
      <c r="K33" s="9" t="s">
        <v>88</v>
      </c>
      <c r="L33" s="9">
        <v>4</v>
      </c>
      <c r="M33" s="9"/>
    </row>
    <row r="34" spans="1:13" x14ac:dyDescent="0.2">
      <c r="A34" s="5">
        <v>2</v>
      </c>
      <c r="B34" s="5" t="s">
        <v>6</v>
      </c>
      <c r="C34" s="5" t="s">
        <v>53</v>
      </c>
      <c r="D34" s="5"/>
      <c r="E34" s="5" t="s">
        <v>62</v>
      </c>
      <c r="F34" s="5">
        <v>4</v>
      </c>
      <c r="G34" s="6">
        <v>14</v>
      </c>
      <c r="H34" s="5">
        <v>1</v>
      </c>
      <c r="I34" s="5"/>
      <c r="J34" s="5"/>
      <c r="K34" s="9" t="s">
        <v>89</v>
      </c>
      <c r="L34" s="9">
        <v>-1.6437073101825384</v>
      </c>
      <c r="M34" s="9"/>
    </row>
    <row r="35" spans="1:13" x14ac:dyDescent="0.2">
      <c r="A35" s="5">
        <v>2</v>
      </c>
      <c r="B35" s="5" t="s">
        <v>6</v>
      </c>
      <c r="C35" s="5" t="s">
        <v>53</v>
      </c>
      <c r="D35" s="5"/>
      <c r="E35" s="5" t="s">
        <v>63</v>
      </c>
      <c r="F35" s="5">
        <v>5</v>
      </c>
      <c r="G35" s="6">
        <v>30</v>
      </c>
      <c r="H35" s="5">
        <v>0</v>
      </c>
      <c r="I35" s="5"/>
      <c r="J35" s="5"/>
      <c r="K35" s="9" t="s">
        <v>90</v>
      </c>
      <c r="L35" s="9">
        <v>8.7790841794832819E-2</v>
      </c>
      <c r="M35" s="9"/>
    </row>
    <row r="36" spans="1:13" x14ac:dyDescent="0.2">
      <c r="A36" s="5">
        <v>1</v>
      </c>
      <c r="B36" s="5" t="s">
        <v>5</v>
      </c>
      <c r="C36" s="5" t="s">
        <v>54</v>
      </c>
      <c r="D36" s="5"/>
      <c r="E36" s="5" t="s">
        <v>60</v>
      </c>
      <c r="F36" s="5">
        <v>1</v>
      </c>
      <c r="G36" s="6">
        <v>30</v>
      </c>
      <c r="H36" s="5">
        <v>0</v>
      </c>
      <c r="I36" s="5">
        <v>1</v>
      </c>
      <c r="J36" s="5"/>
      <c r="K36" s="9" t="s">
        <v>91</v>
      </c>
      <c r="L36" s="9">
        <v>2.1318467863266499</v>
      </c>
      <c r="M36" s="9"/>
    </row>
    <row r="37" spans="1:13" x14ac:dyDescent="0.2">
      <c r="A37" s="5">
        <v>1</v>
      </c>
      <c r="B37" s="5" t="s">
        <v>5</v>
      </c>
      <c r="C37" s="5" t="s">
        <v>54</v>
      </c>
      <c r="D37" s="5"/>
      <c r="E37" s="5" t="s">
        <v>59</v>
      </c>
      <c r="F37" s="5">
        <v>2</v>
      </c>
      <c r="G37" s="6">
        <v>13</v>
      </c>
      <c r="H37" s="5">
        <v>1</v>
      </c>
      <c r="I37" s="5">
        <v>1</v>
      </c>
      <c r="J37" s="5"/>
      <c r="K37" s="9" t="s">
        <v>92</v>
      </c>
      <c r="L37" s="9">
        <v>0.17558168358966564</v>
      </c>
      <c r="M37" s="9"/>
    </row>
    <row r="38" spans="1:13" ht="17" thickBot="1" x14ac:dyDescent="0.25">
      <c r="A38" s="5">
        <v>1</v>
      </c>
      <c r="B38" s="5" t="s">
        <v>5</v>
      </c>
      <c r="C38" s="5" t="s">
        <v>54</v>
      </c>
      <c r="D38" s="5"/>
      <c r="E38" s="5" t="s">
        <v>60</v>
      </c>
      <c r="F38" s="5">
        <v>3</v>
      </c>
      <c r="G38" s="6">
        <v>30</v>
      </c>
      <c r="H38" s="5">
        <v>0</v>
      </c>
      <c r="I38" s="5">
        <v>1</v>
      </c>
      <c r="J38" s="5"/>
      <c r="K38" s="10" t="s">
        <v>93</v>
      </c>
      <c r="L38" s="10">
        <v>2.7764451051977934</v>
      </c>
      <c r="M38" s="10"/>
    </row>
    <row r="39" spans="1:13" x14ac:dyDescent="0.2">
      <c r="A39" s="5">
        <v>1</v>
      </c>
      <c r="B39" s="5" t="s">
        <v>5</v>
      </c>
      <c r="C39" s="5" t="s">
        <v>54</v>
      </c>
      <c r="D39" s="5"/>
      <c r="E39" s="5" t="s">
        <v>59</v>
      </c>
      <c r="F39" s="5">
        <v>4</v>
      </c>
      <c r="G39" s="6">
        <v>8</v>
      </c>
      <c r="H39" s="5">
        <v>1</v>
      </c>
      <c r="I39" s="5">
        <v>1</v>
      </c>
      <c r="J39" s="5"/>
      <c r="K39" s="5"/>
    </row>
    <row r="40" spans="1:13" x14ac:dyDescent="0.2">
      <c r="A40" s="5">
        <v>2</v>
      </c>
      <c r="B40" s="5" t="s">
        <v>6</v>
      </c>
      <c r="C40" s="5" t="s">
        <v>55</v>
      </c>
      <c r="D40" s="5"/>
      <c r="E40" s="5" t="s">
        <v>60</v>
      </c>
      <c r="F40" s="5">
        <v>1</v>
      </c>
      <c r="G40" s="6">
        <v>30</v>
      </c>
      <c r="H40" s="5">
        <v>0</v>
      </c>
      <c r="I40" s="5"/>
      <c r="J40" s="5"/>
      <c r="K40" s="5"/>
    </row>
    <row r="41" spans="1:13" x14ac:dyDescent="0.2">
      <c r="A41" s="5">
        <v>2</v>
      </c>
      <c r="B41" s="5" t="s">
        <v>6</v>
      </c>
      <c r="C41" s="5" t="s">
        <v>55</v>
      </c>
      <c r="D41" s="5"/>
      <c r="E41" s="5" t="s">
        <v>61</v>
      </c>
      <c r="F41" s="5">
        <v>2</v>
      </c>
      <c r="G41" s="6">
        <v>15</v>
      </c>
      <c r="H41" s="5">
        <v>1</v>
      </c>
      <c r="I41" s="5"/>
      <c r="J41" s="5"/>
      <c r="K41" s="5"/>
    </row>
    <row r="42" spans="1:13" x14ac:dyDescent="0.2">
      <c r="A42" s="5">
        <v>2</v>
      </c>
      <c r="B42" s="5" t="s">
        <v>6</v>
      </c>
      <c r="C42" s="5" t="s">
        <v>55</v>
      </c>
      <c r="D42" s="5"/>
      <c r="E42" s="5" t="s">
        <v>59</v>
      </c>
      <c r="F42" s="5">
        <v>3</v>
      </c>
      <c r="G42" s="6">
        <v>6</v>
      </c>
      <c r="H42" s="5">
        <v>1</v>
      </c>
      <c r="I42" s="5"/>
      <c r="J42" s="5"/>
      <c r="K42" s="5"/>
    </row>
    <row r="43" spans="1:13" x14ac:dyDescent="0.2">
      <c r="A43" s="5">
        <v>2</v>
      </c>
      <c r="B43" s="5" t="s">
        <v>6</v>
      </c>
      <c r="C43" s="5" t="s">
        <v>55</v>
      </c>
      <c r="D43" s="5"/>
      <c r="E43" s="5" t="s">
        <v>62</v>
      </c>
      <c r="F43" s="5">
        <v>4</v>
      </c>
      <c r="G43" s="6">
        <v>15</v>
      </c>
      <c r="H43" s="5">
        <v>1</v>
      </c>
      <c r="I43" s="5"/>
      <c r="J43" s="5"/>
      <c r="K43" s="5"/>
    </row>
    <row r="44" spans="1:13" x14ac:dyDescent="0.2">
      <c r="A44" s="5">
        <v>2</v>
      </c>
      <c r="B44" s="5" t="s">
        <v>6</v>
      </c>
      <c r="C44" s="5" t="s">
        <v>55</v>
      </c>
      <c r="D44" s="5"/>
      <c r="E44" s="5" t="s">
        <v>63</v>
      </c>
      <c r="F44" s="5">
        <v>5</v>
      </c>
      <c r="G44" s="6">
        <v>30</v>
      </c>
      <c r="H44" s="5">
        <v>0</v>
      </c>
      <c r="I44" s="5"/>
      <c r="J44" s="5"/>
      <c r="K44" s="5"/>
    </row>
    <row r="45" spans="1:13" x14ac:dyDescent="0.2">
      <c r="A45" s="5">
        <v>1</v>
      </c>
      <c r="B45" s="5" t="s">
        <v>5</v>
      </c>
      <c r="C45" s="5" t="s">
        <v>53</v>
      </c>
      <c r="D45" s="5"/>
      <c r="E45" s="5" t="s">
        <v>59</v>
      </c>
      <c r="F45" s="5">
        <v>1</v>
      </c>
      <c r="G45" s="6">
        <v>10</v>
      </c>
      <c r="H45" s="5">
        <v>1</v>
      </c>
      <c r="I45" s="5"/>
      <c r="J45" s="5"/>
      <c r="K45" s="5"/>
    </row>
    <row r="46" spans="1:13" x14ac:dyDescent="0.2">
      <c r="A46" s="5">
        <v>1</v>
      </c>
      <c r="B46" s="5" t="s">
        <v>5</v>
      </c>
      <c r="C46" s="5" t="s">
        <v>53</v>
      </c>
      <c r="D46" s="5"/>
      <c r="E46" s="5" t="s">
        <v>60</v>
      </c>
      <c r="F46" s="5">
        <v>2</v>
      </c>
      <c r="G46" s="6">
        <v>30</v>
      </c>
      <c r="H46" s="5">
        <v>0</v>
      </c>
      <c r="I46" s="5"/>
      <c r="J46" s="5"/>
      <c r="K46" s="5"/>
    </row>
    <row r="47" spans="1:13" x14ac:dyDescent="0.2">
      <c r="A47" s="5">
        <v>1</v>
      </c>
      <c r="B47" s="5" t="s">
        <v>5</v>
      </c>
      <c r="C47" s="7" t="s">
        <v>53</v>
      </c>
      <c r="D47" s="5"/>
      <c r="E47" s="5" t="s">
        <v>61</v>
      </c>
      <c r="F47" s="5">
        <v>3</v>
      </c>
      <c r="G47" s="6">
        <v>14</v>
      </c>
      <c r="H47" s="5">
        <v>1</v>
      </c>
      <c r="I47" s="5"/>
      <c r="J47" s="5"/>
      <c r="K47" s="5"/>
    </row>
    <row r="48" spans="1:13" x14ac:dyDescent="0.2">
      <c r="A48" s="5">
        <v>1</v>
      </c>
      <c r="B48" s="5" t="s">
        <v>5</v>
      </c>
      <c r="C48" s="5" t="s">
        <v>53</v>
      </c>
      <c r="D48" s="5"/>
      <c r="E48" s="5" t="s">
        <v>62</v>
      </c>
      <c r="F48" s="5">
        <v>4</v>
      </c>
      <c r="G48" s="6">
        <v>17</v>
      </c>
      <c r="H48" s="5">
        <v>1</v>
      </c>
      <c r="I48" s="5"/>
      <c r="J48" s="5"/>
      <c r="K48" s="5"/>
    </row>
    <row r="49" spans="1:11" x14ac:dyDescent="0.2">
      <c r="A49" s="5">
        <v>1</v>
      </c>
      <c r="B49" s="5" t="s">
        <v>5</v>
      </c>
      <c r="C49" s="7" t="s">
        <v>53</v>
      </c>
      <c r="D49" s="5"/>
      <c r="E49" s="5" t="s">
        <v>63</v>
      </c>
      <c r="F49" s="5">
        <v>5</v>
      </c>
      <c r="G49" s="6">
        <v>27</v>
      </c>
      <c r="H49" s="5">
        <v>1</v>
      </c>
      <c r="I49" s="5"/>
      <c r="J49" s="5"/>
      <c r="K49" s="5"/>
    </row>
    <row r="50" spans="1:11" x14ac:dyDescent="0.2">
      <c r="A50" s="5">
        <v>2</v>
      </c>
      <c r="B50" s="5" t="s">
        <v>6</v>
      </c>
      <c r="C50" s="5" t="s">
        <v>56</v>
      </c>
      <c r="D50" s="5"/>
      <c r="E50" s="5" t="s">
        <v>59</v>
      </c>
      <c r="F50" s="5">
        <v>1</v>
      </c>
      <c r="G50" s="6">
        <v>17</v>
      </c>
      <c r="H50" s="5">
        <v>1</v>
      </c>
      <c r="I50" s="5"/>
      <c r="J50" s="5"/>
      <c r="K50" s="5"/>
    </row>
    <row r="51" spans="1:11" x14ac:dyDescent="0.2">
      <c r="A51" s="5">
        <v>2</v>
      </c>
      <c r="B51" s="5" t="s">
        <v>6</v>
      </c>
      <c r="C51" s="5" t="s">
        <v>56</v>
      </c>
      <c r="D51" s="5"/>
      <c r="E51" s="5" t="s">
        <v>60</v>
      </c>
      <c r="F51" s="5">
        <v>2</v>
      </c>
      <c r="G51" s="6">
        <v>30</v>
      </c>
      <c r="H51" s="5">
        <v>0</v>
      </c>
      <c r="I51" s="5"/>
      <c r="J51" s="5"/>
      <c r="K51" s="5"/>
    </row>
    <row r="52" spans="1:11" x14ac:dyDescent="0.2">
      <c r="A52" s="5">
        <v>2</v>
      </c>
      <c r="B52" s="5" t="s">
        <v>6</v>
      </c>
      <c r="C52" s="5" t="s">
        <v>56</v>
      </c>
      <c r="D52" s="5"/>
      <c r="E52" s="5" t="s">
        <v>61</v>
      </c>
      <c r="F52" s="5">
        <v>3</v>
      </c>
      <c r="G52" s="6">
        <v>30</v>
      </c>
      <c r="H52" s="5">
        <v>0</v>
      </c>
      <c r="I52" s="5"/>
      <c r="J52" s="5"/>
      <c r="K52" s="5"/>
    </row>
    <row r="53" spans="1:11" x14ac:dyDescent="0.2">
      <c r="A53" s="5">
        <v>2</v>
      </c>
      <c r="B53" s="5" t="s">
        <v>6</v>
      </c>
      <c r="C53" s="5" t="s">
        <v>56</v>
      </c>
      <c r="D53" s="5"/>
      <c r="E53" s="5" t="s">
        <v>62</v>
      </c>
      <c r="F53" s="5">
        <v>4</v>
      </c>
      <c r="G53" s="6">
        <v>30</v>
      </c>
      <c r="H53" s="5">
        <v>0</v>
      </c>
      <c r="I53" s="5"/>
      <c r="J53" s="5"/>
      <c r="K53" s="5"/>
    </row>
    <row r="54" spans="1:11" x14ac:dyDescent="0.2">
      <c r="A54" s="5">
        <v>2</v>
      </c>
      <c r="B54" s="5" t="s">
        <v>6</v>
      </c>
      <c r="C54" s="5" t="s">
        <v>56</v>
      </c>
      <c r="D54" s="5"/>
      <c r="E54" s="5" t="s">
        <v>63</v>
      </c>
      <c r="F54" s="5">
        <v>5</v>
      </c>
      <c r="G54" s="6">
        <v>30</v>
      </c>
      <c r="H54" s="5">
        <v>0</v>
      </c>
      <c r="I54" s="5"/>
      <c r="J54" s="5"/>
      <c r="K54" s="5"/>
    </row>
    <row r="55" spans="1:11" x14ac:dyDescent="0.2">
      <c r="A55" s="5">
        <v>1</v>
      </c>
      <c r="B55" s="5" t="s">
        <v>5</v>
      </c>
      <c r="C55" s="5" t="s">
        <v>55</v>
      </c>
      <c r="D55" s="5"/>
      <c r="E55" s="5" t="s">
        <v>60</v>
      </c>
      <c r="F55" s="5">
        <v>1</v>
      </c>
      <c r="G55" s="6">
        <v>30</v>
      </c>
      <c r="H55" s="5">
        <v>0</v>
      </c>
      <c r="I55" s="5"/>
      <c r="J55" s="5"/>
      <c r="K55" s="5"/>
    </row>
    <row r="56" spans="1:11" x14ac:dyDescent="0.2">
      <c r="A56" s="5">
        <v>1</v>
      </c>
      <c r="B56" s="5" t="s">
        <v>5</v>
      </c>
      <c r="C56" s="5" t="s">
        <v>55</v>
      </c>
      <c r="D56" s="5"/>
      <c r="E56" s="5" t="s">
        <v>61</v>
      </c>
      <c r="F56" s="5">
        <v>2</v>
      </c>
      <c r="G56" s="6">
        <v>14</v>
      </c>
      <c r="H56" s="5">
        <v>1</v>
      </c>
      <c r="I56" s="5"/>
      <c r="J56" s="5"/>
      <c r="K56" s="5"/>
    </row>
    <row r="57" spans="1:11" x14ac:dyDescent="0.2">
      <c r="A57" s="5">
        <v>1</v>
      </c>
      <c r="B57" s="5" t="s">
        <v>5</v>
      </c>
      <c r="C57" s="5" t="s">
        <v>55</v>
      </c>
      <c r="D57" s="5"/>
      <c r="E57" s="5" t="s">
        <v>59</v>
      </c>
      <c r="F57" s="5">
        <v>3</v>
      </c>
      <c r="G57" s="6">
        <v>12</v>
      </c>
      <c r="H57" s="5">
        <v>1</v>
      </c>
      <c r="I57" s="5"/>
      <c r="J57" s="5"/>
      <c r="K57" s="5"/>
    </row>
    <row r="58" spans="1:11" x14ac:dyDescent="0.2">
      <c r="A58" s="5">
        <v>1</v>
      </c>
      <c r="B58" s="5" t="s">
        <v>5</v>
      </c>
      <c r="C58" s="5" t="s">
        <v>55</v>
      </c>
      <c r="D58" s="5"/>
      <c r="E58" s="5" t="s">
        <v>62</v>
      </c>
      <c r="F58" s="5">
        <v>4</v>
      </c>
      <c r="G58" s="6">
        <v>26</v>
      </c>
      <c r="H58" s="5">
        <v>1</v>
      </c>
      <c r="I58" s="5"/>
      <c r="J58" s="5"/>
      <c r="K58" s="5"/>
    </row>
    <row r="59" spans="1:11" x14ac:dyDescent="0.2">
      <c r="A59" s="5">
        <v>1</v>
      </c>
      <c r="B59" s="5" t="s">
        <v>5</v>
      </c>
      <c r="C59" s="5" t="s">
        <v>55</v>
      </c>
      <c r="D59" s="5"/>
      <c r="E59" s="5" t="s">
        <v>63</v>
      </c>
      <c r="F59" s="5">
        <v>5</v>
      </c>
      <c r="G59" s="6">
        <v>30</v>
      </c>
      <c r="H59" s="5">
        <v>1</v>
      </c>
      <c r="I59" s="5"/>
      <c r="J59" s="5"/>
      <c r="K59" s="5"/>
    </row>
    <row r="60" spans="1:11" x14ac:dyDescent="0.2">
      <c r="A60" s="5">
        <v>2</v>
      </c>
      <c r="B60" s="5" t="s">
        <v>6</v>
      </c>
      <c r="C60" s="5" t="s">
        <v>57</v>
      </c>
      <c r="D60" s="5"/>
      <c r="E60" s="5" t="s">
        <v>59</v>
      </c>
      <c r="F60" s="5">
        <v>1</v>
      </c>
      <c r="G60" s="6">
        <v>8</v>
      </c>
      <c r="H60" s="5">
        <v>1</v>
      </c>
      <c r="I60" s="5"/>
      <c r="J60" s="5"/>
      <c r="K60" s="5"/>
    </row>
    <row r="61" spans="1:11" x14ac:dyDescent="0.2">
      <c r="A61" s="5">
        <v>2</v>
      </c>
      <c r="B61" s="5" t="s">
        <v>6</v>
      </c>
      <c r="C61" s="5" t="s">
        <v>57</v>
      </c>
      <c r="D61" s="5"/>
      <c r="E61" s="5" t="s">
        <v>60</v>
      </c>
      <c r="F61" s="5">
        <v>2</v>
      </c>
      <c r="G61" s="6">
        <v>30</v>
      </c>
      <c r="H61" s="5">
        <v>0</v>
      </c>
      <c r="I61" s="5"/>
      <c r="J61" s="5"/>
      <c r="K61" s="5"/>
    </row>
    <row r="62" spans="1:11" x14ac:dyDescent="0.2">
      <c r="A62" s="5">
        <v>2</v>
      </c>
      <c r="B62" s="5" t="s">
        <v>6</v>
      </c>
      <c r="C62" s="5" t="s">
        <v>57</v>
      </c>
      <c r="D62" s="5"/>
      <c r="E62" s="5" t="s">
        <v>61</v>
      </c>
      <c r="F62" s="5">
        <v>3</v>
      </c>
      <c r="G62" s="6">
        <v>30</v>
      </c>
      <c r="H62" s="5">
        <v>0</v>
      </c>
      <c r="I62" s="5"/>
      <c r="J62" s="5"/>
      <c r="K62" s="5"/>
    </row>
    <row r="63" spans="1:11" x14ac:dyDescent="0.2">
      <c r="A63" s="5">
        <v>2</v>
      </c>
      <c r="B63" s="5" t="s">
        <v>6</v>
      </c>
      <c r="C63" s="5" t="s">
        <v>57</v>
      </c>
      <c r="D63" s="5"/>
      <c r="E63" s="5" t="s">
        <v>62</v>
      </c>
      <c r="F63" s="5">
        <v>4</v>
      </c>
      <c r="G63" s="6">
        <v>28</v>
      </c>
      <c r="H63" s="5">
        <v>1</v>
      </c>
      <c r="I63" s="5"/>
      <c r="J63" s="5"/>
      <c r="K63" s="5"/>
    </row>
    <row r="64" spans="1:11" x14ac:dyDescent="0.2">
      <c r="A64" s="5">
        <v>2</v>
      </c>
      <c r="B64" s="5" t="s">
        <v>6</v>
      </c>
      <c r="C64" s="5" t="s">
        <v>57</v>
      </c>
      <c r="D64" s="5"/>
      <c r="E64" s="5" t="s">
        <v>63</v>
      </c>
      <c r="F64" s="5">
        <v>5</v>
      </c>
      <c r="G64" s="6">
        <v>30</v>
      </c>
      <c r="H64" s="5">
        <v>0</v>
      </c>
      <c r="I64" s="5"/>
      <c r="J64" s="5"/>
      <c r="K64" s="5"/>
    </row>
    <row r="65" spans="1:11" x14ac:dyDescent="0.2">
      <c r="A65" s="5">
        <v>1</v>
      </c>
      <c r="B65" s="5" t="s">
        <v>5</v>
      </c>
      <c r="C65" s="5" t="s">
        <v>56</v>
      </c>
      <c r="D65" s="5"/>
      <c r="E65" s="5" t="s">
        <v>59</v>
      </c>
      <c r="F65" s="5">
        <v>1</v>
      </c>
      <c r="G65" s="6">
        <v>12</v>
      </c>
      <c r="H65" s="5">
        <v>1</v>
      </c>
      <c r="I65" s="5"/>
      <c r="J65" s="5"/>
      <c r="K65" s="5"/>
    </row>
    <row r="66" spans="1:11" x14ac:dyDescent="0.2">
      <c r="A66" s="5">
        <v>1</v>
      </c>
      <c r="B66" s="5" t="s">
        <v>5</v>
      </c>
      <c r="C66" s="5" t="s">
        <v>56</v>
      </c>
      <c r="D66" s="5"/>
      <c r="E66" s="5" t="s">
        <v>60</v>
      </c>
      <c r="F66" s="5">
        <v>2</v>
      </c>
      <c r="G66" s="6">
        <v>30</v>
      </c>
      <c r="H66" s="5">
        <v>0</v>
      </c>
      <c r="I66" s="5"/>
      <c r="J66" s="5"/>
      <c r="K66" s="5"/>
    </row>
    <row r="67" spans="1:11" x14ac:dyDescent="0.2">
      <c r="A67" s="5">
        <v>1</v>
      </c>
      <c r="B67" s="5" t="s">
        <v>5</v>
      </c>
      <c r="C67" s="5" t="s">
        <v>56</v>
      </c>
      <c r="D67" s="5"/>
      <c r="E67" s="5" t="s">
        <v>61</v>
      </c>
      <c r="F67" s="5">
        <v>3</v>
      </c>
      <c r="G67" s="6">
        <v>30</v>
      </c>
      <c r="H67" s="5">
        <v>0</v>
      </c>
      <c r="I67" s="5"/>
      <c r="J67" s="5"/>
      <c r="K67" s="5"/>
    </row>
    <row r="68" spans="1:11" x14ac:dyDescent="0.2">
      <c r="A68" s="5">
        <v>1</v>
      </c>
      <c r="B68" s="5" t="s">
        <v>5</v>
      </c>
      <c r="C68" s="5" t="s">
        <v>56</v>
      </c>
      <c r="D68" s="5"/>
      <c r="E68" s="5" t="s">
        <v>62</v>
      </c>
      <c r="F68" s="5">
        <v>4</v>
      </c>
      <c r="G68" s="6">
        <v>12</v>
      </c>
      <c r="H68" s="5">
        <v>1</v>
      </c>
      <c r="I68" s="5"/>
      <c r="J68" s="5"/>
      <c r="K68" s="5"/>
    </row>
    <row r="69" spans="1:11" x14ac:dyDescent="0.2">
      <c r="A69" s="5">
        <v>1</v>
      </c>
      <c r="B69" s="5" t="s">
        <v>5</v>
      </c>
      <c r="C69" s="5" t="s">
        <v>56</v>
      </c>
      <c r="D69" s="5"/>
      <c r="E69" s="5" t="s">
        <v>63</v>
      </c>
      <c r="F69" s="5">
        <v>5</v>
      </c>
      <c r="G69" s="6">
        <v>27</v>
      </c>
      <c r="H69" s="5">
        <v>1</v>
      </c>
      <c r="I69" s="5"/>
      <c r="J69" s="5"/>
      <c r="K69" s="5"/>
    </row>
    <row r="70" spans="1:11" x14ac:dyDescent="0.2">
      <c r="A70" s="5">
        <v>2</v>
      </c>
      <c r="B70" s="5" t="s">
        <v>5</v>
      </c>
      <c r="C70" s="5" t="s">
        <v>57</v>
      </c>
      <c r="D70" s="5"/>
      <c r="E70" s="5" t="s">
        <v>59</v>
      </c>
      <c r="F70" s="5">
        <v>1</v>
      </c>
      <c r="G70" s="6">
        <v>13</v>
      </c>
      <c r="H70" s="5">
        <v>1</v>
      </c>
      <c r="I70" s="5"/>
      <c r="J70" s="5"/>
      <c r="K70" s="5"/>
    </row>
    <row r="71" spans="1:11" x14ac:dyDescent="0.2">
      <c r="A71" s="5">
        <v>2</v>
      </c>
      <c r="B71" s="5" t="s">
        <v>5</v>
      </c>
      <c r="C71" s="5" t="s">
        <v>57</v>
      </c>
      <c r="D71" s="5"/>
      <c r="E71" s="5" t="s">
        <v>60</v>
      </c>
      <c r="F71" s="5">
        <v>2</v>
      </c>
      <c r="G71" s="6">
        <v>30</v>
      </c>
      <c r="H71" s="5">
        <v>0</v>
      </c>
      <c r="I71" s="5"/>
      <c r="J71" s="5"/>
      <c r="K71" s="5"/>
    </row>
    <row r="72" spans="1:11" x14ac:dyDescent="0.2">
      <c r="A72" s="5">
        <v>2</v>
      </c>
      <c r="B72" s="5" t="s">
        <v>5</v>
      </c>
      <c r="C72" s="5" t="s">
        <v>57</v>
      </c>
      <c r="D72" s="5"/>
      <c r="E72" s="5" t="s">
        <v>61</v>
      </c>
      <c r="F72" s="5">
        <v>3</v>
      </c>
      <c r="G72" s="6">
        <v>10</v>
      </c>
      <c r="H72" s="5">
        <v>1</v>
      </c>
      <c r="I72" s="5"/>
      <c r="J72" s="5"/>
      <c r="K72" s="5"/>
    </row>
    <row r="73" spans="1:11" x14ac:dyDescent="0.2">
      <c r="A73">
        <v>2</v>
      </c>
      <c r="B73" s="5" t="s">
        <v>5</v>
      </c>
      <c r="C73" s="5" t="s">
        <v>57</v>
      </c>
      <c r="E73" s="5" t="s">
        <v>62</v>
      </c>
      <c r="F73" s="5">
        <v>4</v>
      </c>
      <c r="G73" s="1">
        <v>17</v>
      </c>
      <c r="H73">
        <v>1</v>
      </c>
    </row>
    <row r="74" spans="1:11" x14ac:dyDescent="0.2">
      <c r="A74">
        <v>2</v>
      </c>
      <c r="B74" s="5" t="s">
        <v>5</v>
      </c>
      <c r="C74" s="5" t="s">
        <v>57</v>
      </c>
      <c r="E74" s="5" t="s">
        <v>63</v>
      </c>
      <c r="F74" s="5">
        <v>5</v>
      </c>
      <c r="G74" s="1">
        <v>30</v>
      </c>
      <c r="H74">
        <v>0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9E5-643C-7F48-9028-77DEEC7EEAAD}">
  <dimension ref="A3:AK9"/>
  <sheetViews>
    <sheetView workbookViewId="0">
      <selection activeCell="D27" sqref="D27"/>
    </sheetView>
  </sheetViews>
  <sheetFormatPr baseColWidth="10" defaultRowHeight="16" x14ac:dyDescent="0.2"/>
  <cols>
    <col min="1" max="1" width="13" bestFit="1" customWidth="1"/>
    <col min="2" max="2" width="18.6640625" bestFit="1" customWidth="1"/>
    <col min="3" max="3" width="21.5" bestFit="1" customWidth="1"/>
    <col min="4" max="4" width="25.6640625" bestFit="1" customWidth="1"/>
    <col min="5" max="5" width="18.6640625" bestFit="1" customWidth="1"/>
    <col min="6" max="6" width="21.5" bestFit="1" customWidth="1"/>
    <col min="7" max="7" width="25.6640625" bestFit="1" customWidth="1"/>
    <col min="8" max="8" width="18.6640625" bestFit="1" customWidth="1"/>
    <col min="9" max="9" width="21.5" bestFit="1" customWidth="1"/>
    <col min="10" max="10" width="25.6640625" bestFit="1" customWidth="1"/>
    <col min="11" max="11" width="18.6640625" bestFit="1" customWidth="1"/>
    <col min="12" max="12" width="21.5" bestFit="1" customWidth="1"/>
    <col min="13" max="13" width="25.6640625" bestFit="1" customWidth="1"/>
    <col min="14" max="14" width="18.6640625" bestFit="1" customWidth="1"/>
    <col min="15" max="15" width="21.5" bestFit="1" customWidth="1"/>
    <col min="16" max="16" width="25.6640625" bestFit="1" customWidth="1"/>
    <col min="17" max="17" width="18.6640625" bestFit="1" customWidth="1"/>
    <col min="18" max="18" width="21.5" bestFit="1" customWidth="1"/>
    <col min="19" max="19" width="25.6640625" bestFit="1" customWidth="1"/>
    <col min="20" max="20" width="18.6640625" bestFit="1" customWidth="1"/>
    <col min="21" max="21" width="21.5" bestFit="1" customWidth="1"/>
    <col min="22" max="22" width="25.6640625" bestFit="1" customWidth="1"/>
    <col min="23" max="23" width="18.6640625" bestFit="1" customWidth="1"/>
    <col min="24" max="24" width="21.5" bestFit="1" customWidth="1"/>
    <col min="25" max="25" width="25.6640625" bestFit="1" customWidth="1"/>
    <col min="26" max="26" width="18.6640625" bestFit="1" customWidth="1"/>
    <col min="27" max="27" width="21.5" bestFit="1" customWidth="1"/>
    <col min="28" max="28" width="25.6640625" bestFit="1" customWidth="1"/>
    <col min="29" max="29" width="18.6640625" bestFit="1" customWidth="1"/>
    <col min="30" max="30" width="21.5" bestFit="1" customWidth="1"/>
    <col min="31" max="31" width="25.6640625" bestFit="1" customWidth="1"/>
    <col min="32" max="32" width="18.6640625" bestFit="1" customWidth="1"/>
    <col min="33" max="33" width="21.5" bestFit="1" customWidth="1"/>
    <col min="34" max="34" width="25.6640625" bestFit="1" customWidth="1"/>
    <col min="35" max="35" width="23.1640625" bestFit="1" customWidth="1"/>
    <col min="36" max="36" width="25.83203125" bestFit="1" customWidth="1"/>
    <col min="37" max="37" width="30.1640625" bestFit="1" customWidth="1"/>
  </cols>
  <sheetData>
    <row r="3" spans="1:37" x14ac:dyDescent="0.2">
      <c r="B3" s="3" t="s">
        <v>47</v>
      </c>
    </row>
    <row r="4" spans="1:37" x14ac:dyDescent="0.2">
      <c r="B4" t="s">
        <v>49</v>
      </c>
      <c r="E4" t="s">
        <v>50</v>
      </c>
      <c r="H4" t="s">
        <v>51</v>
      </c>
      <c r="K4" t="s">
        <v>52</v>
      </c>
      <c r="N4" t="s">
        <v>54</v>
      </c>
      <c r="Q4" t="s">
        <v>64</v>
      </c>
      <c r="T4" t="s">
        <v>53</v>
      </c>
      <c r="W4" t="s">
        <v>55</v>
      </c>
      <c r="Z4" t="s">
        <v>56</v>
      </c>
      <c r="AC4" t="s">
        <v>57</v>
      </c>
      <c r="AF4" t="s">
        <v>45</v>
      </c>
      <c r="AI4" t="s">
        <v>79</v>
      </c>
      <c r="AJ4" t="s">
        <v>75</v>
      </c>
      <c r="AK4" t="s">
        <v>77</v>
      </c>
    </row>
    <row r="5" spans="1:37" x14ac:dyDescent="0.2">
      <c r="A5" s="3" t="s">
        <v>44</v>
      </c>
      <c r="B5" t="s">
        <v>48</v>
      </c>
      <c r="C5" t="s">
        <v>76</v>
      </c>
      <c r="D5" t="s">
        <v>78</v>
      </c>
      <c r="E5" t="s">
        <v>48</v>
      </c>
      <c r="F5" t="s">
        <v>76</v>
      </c>
      <c r="G5" t="s">
        <v>78</v>
      </c>
      <c r="H5" t="s">
        <v>48</v>
      </c>
      <c r="I5" t="s">
        <v>76</v>
      </c>
      <c r="J5" t="s">
        <v>78</v>
      </c>
      <c r="K5" t="s">
        <v>48</v>
      </c>
      <c r="L5" t="s">
        <v>76</v>
      </c>
      <c r="M5" t="s">
        <v>78</v>
      </c>
      <c r="N5" t="s">
        <v>48</v>
      </c>
      <c r="O5" t="s">
        <v>76</v>
      </c>
      <c r="P5" t="s">
        <v>78</v>
      </c>
      <c r="Q5" t="s">
        <v>48</v>
      </c>
      <c r="R5" t="s">
        <v>76</v>
      </c>
      <c r="S5" t="s">
        <v>78</v>
      </c>
      <c r="T5" t="s">
        <v>48</v>
      </c>
      <c r="U5" t="s">
        <v>76</v>
      </c>
      <c r="V5" t="s">
        <v>78</v>
      </c>
      <c r="W5" t="s">
        <v>48</v>
      </c>
      <c r="X5" t="s">
        <v>76</v>
      </c>
      <c r="Y5" t="s">
        <v>78</v>
      </c>
      <c r="Z5" t="s">
        <v>48</v>
      </c>
      <c r="AA5" t="s">
        <v>76</v>
      </c>
      <c r="AB5" t="s">
        <v>78</v>
      </c>
      <c r="AC5" t="s">
        <v>48</v>
      </c>
      <c r="AD5" t="s">
        <v>76</v>
      </c>
      <c r="AE5" t="s">
        <v>78</v>
      </c>
      <c r="AF5" t="s">
        <v>48</v>
      </c>
      <c r="AG5" t="s">
        <v>76</v>
      </c>
      <c r="AH5" t="s">
        <v>78</v>
      </c>
    </row>
    <row r="6" spans="1:37" x14ac:dyDescent="0.2">
      <c r="A6" s="4" t="s">
        <v>6</v>
      </c>
      <c r="B6" s="8">
        <v>20</v>
      </c>
      <c r="C6" s="8">
        <v>3</v>
      </c>
      <c r="D6" s="8">
        <v>3</v>
      </c>
      <c r="E6" s="8">
        <v>21.75</v>
      </c>
      <c r="F6" s="8">
        <v>2</v>
      </c>
      <c r="G6" s="8">
        <v>4</v>
      </c>
      <c r="H6" s="8"/>
      <c r="I6" s="8"/>
      <c r="J6" s="8"/>
      <c r="K6" s="8">
        <v>20</v>
      </c>
      <c r="L6" s="8">
        <v>2</v>
      </c>
      <c r="M6" s="8">
        <v>4</v>
      </c>
      <c r="N6" s="8"/>
      <c r="O6" s="8"/>
      <c r="P6" s="8"/>
      <c r="Q6" s="8"/>
      <c r="R6" s="8"/>
      <c r="S6" s="8"/>
      <c r="T6" s="8">
        <v>21</v>
      </c>
      <c r="U6" s="8">
        <v>3</v>
      </c>
      <c r="V6" s="8"/>
      <c r="W6" s="8">
        <v>19.2</v>
      </c>
      <c r="X6" s="8">
        <v>3</v>
      </c>
      <c r="Y6" s="8"/>
      <c r="Z6" s="8">
        <v>27.4</v>
      </c>
      <c r="AA6" s="8">
        <v>1</v>
      </c>
      <c r="AB6" s="8"/>
      <c r="AC6" s="8">
        <v>25.2</v>
      </c>
      <c r="AD6" s="8">
        <v>2</v>
      </c>
      <c r="AE6" s="8"/>
      <c r="AF6" s="8"/>
      <c r="AG6" s="8"/>
      <c r="AH6" s="8"/>
      <c r="AI6" s="8">
        <v>22.21875</v>
      </c>
      <c r="AJ6" s="8">
        <v>16</v>
      </c>
      <c r="AK6" s="8">
        <v>11</v>
      </c>
    </row>
    <row r="7" spans="1:37" x14ac:dyDescent="0.2">
      <c r="A7" s="4" t="s">
        <v>5</v>
      </c>
      <c r="B7" s="8">
        <v>19.0075</v>
      </c>
      <c r="C7" s="8">
        <v>4</v>
      </c>
      <c r="D7" s="8">
        <v>2</v>
      </c>
      <c r="E7" s="8">
        <v>15.333333333333334</v>
      </c>
      <c r="F7" s="8">
        <v>3</v>
      </c>
      <c r="G7" s="8">
        <v>2</v>
      </c>
      <c r="H7" s="8">
        <v>18</v>
      </c>
      <c r="I7" s="8">
        <v>2</v>
      </c>
      <c r="J7" s="8">
        <v>3</v>
      </c>
      <c r="K7" s="8">
        <v>21.25</v>
      </c>
      <c r="L7" s="8">
        <v>3</v>
      </c>
      <c r="M7" s="8">
        <v>3</v>
      </c>
      <c r="N7" s="8">
        <v>22.2</v>
      </c>
      <c r="O7" s="8">
        <v>3</v>
      </c>
      <c r="P7" s="8">
        <v>5</v>
      </c>
      <c r="Q7" s="8">
        <v>30</v>
      </c>
      <c r="R7" s="8">
        <v>0</v>
      </c>
      <c r="S7" s="8">
        <v>1</v>
      </c>
      <c r="T7" s="8">
        <v>19.600000000000001</v>
      </c>
      <c r="U7" s="8">
        <v>4</v>
      </c>
      <c r="V7" s="8"/>
      <c r="W7" s="8">
        <v>22.4</v>
      </c>
      <c r="X7" s="8">
        <v>4</v>
      </c>
      <c r="Y7" s="8"/>
      <c r="Z7" s="8">
        <v>22.2</v>
      </c>
      <c r="AA7" s="8">
        <v>3</v>
      </c>
      <c r="AB7" s="8"/>
      <c r="AC7" s="8">
        <v>20</v>
      </c>
      <c r="AD7" s="8">
        <v>3</v>
      </c>
      <c r="AE7" s="8"/>
      <c r="AF7" s="8"/>
      <c r="AG7" s="8"/>
      <c r="AH7" s="8"/>
      <c r="AI7" s="8">
        <v>20.575749999999999</v>
      </c>
      <c r="AJ7" s="8">
        <v>29</v>
      </c>
      <c r="AK7" s="8">
        <v>16</v>
      </c>
    </row>
    <row r="8" spans="1:37" x14ac:dyDescent="0.2">
      <c r="A8" s="4" t="s">
        <v>45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</row>
    <row r="9" spans="1:37" x14ac:dyDescent="0.2">
      <c r="A9" s="4" t="s">
        <v>46</v>
      </c>
      <c r="B9" s="8">
        <v>19.50375</v>
      </c>
      <c r="C9" s="8">
        <v>7</v>
      </c>
      <c r="D9" s="8">
        <v>5</v>
      </c>
      <c r="E9" s="8">
        <v>19</v>
      </c>
      <c r="F9" s="8">
        <v>5</v>
      </c>
      <c r="G9" s="8">
        <v>6</v>
      </c>
      <c r="H9" s="8">
        <v>18</v>
      </c>
      <c r="I9" s="8">
        <v>2</v>
      </c>
      <c r="J9" s="8">
        <v>3</v>
      </c>
      <c r="K9" s="8">
        <v>20.625</v>
      </c>
      <c r="L9" s="8">
        <v>5</v>
      </c>
      <c r="M9" s="8">
        <v>7</v>
      </c>
      <c r="N9" s="8">
        <v>22.2</v>
      </c>
      <c r="O9" s="8">
        <v>3</v>
      </c>
      <c r="P9" s="8">
        <v>5</v>
      </c>
      <c r="Q9" s="8">
        <v>30</v>
      </c>
      <c r="R9" s="8">
        <v>0</v>
      </c>
      <c r="S9" s="8">
        <v>1</v>
      </c>
      <c r="T9" s="8">
        <v>20.3</v>
      </c>
      <c r="U9" s="8">
        <v>7</v>
      </c>
      <c r="V9" s="8"/>
      <c r="W9" s="8">
        <v>20.8</v>
      </c>
      <c r="X9" s="8">
        <v>7</v>
      </c>
      <c r="Y9" s="8"/>
      <c r="Z9" s="8">
        <v>24.8</v>
      </c>
      <c r="AA9" s="8">
        <v>4</v>
      </c>
      <c r="AB9" s="8"/>
      <c r="AC9" s="8">
        <v>22.6</v>
      </c>
      <c r="AD9" s="8">
        <v>5</v>
      </c>
      <c r="AE9" s="8"/>
      <c r="AF9" s="8"/>
      <c r="AG9" s="8"/>
      <c r="AH9" s="8"/>
      <c r="AI9" s="8">
        <v>21.305972222222223</v>
      </c>
      <c r="AJ9" s="8">
        <v>45</v>
      </c>
      <c r="AK9" s="8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Cohort</vt:lpstr>
      <vt:lpstr>SampleData</vt:lpstr>
      <vt:lpstr>Pivot</vt:lpstr>
      <vt:lpstr>Sheet4</vt:lpstr>
      <vt:lpstr>CB</vt:lpstr>
      <vt:lpstr>CBPivot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Henshall, Cathrynne</dc:creator>
  <cp:keywords/>
  <dc:description/>
  <cp:lastModifiedBy>Henshall, Cathrynne</cp:lastModifiedBy>
  <dcterms:created xsi:type="dcterms:W3CDTF">2024-06-03T00:24:47Z</dcterms:created>
  <dcterms:modified xsi:type="dcterms:W3CDTF">2024-06-04T02:08:27Z</dcterms:modified>
  <cp:category/>
</cp:coreProperties>
</file>