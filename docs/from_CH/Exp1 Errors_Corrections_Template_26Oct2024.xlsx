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structions" sheetId="1" state="visible" r:id="rId3"/>
    <sheet name="HD-RAW" sheetId="2" state="visible" r:id="rId4"/>
    <sheet name="CSU-RAW" sheetId="3" state="visible" r:id="rId5"/>
    <sheet name="Atom_RPA1-manual" sheetId="4" state="visible" r:id="rId6"/>
    <sheet name="CBHD_Times" sheetId="5" state="visible" r:id="rId7"/>
    <sheet name="CBCSU_Times" sheetId="6" state="visible" r:id="rId8"/>
    <sheet name="Archived_rows_CSU" sheetId="7" state="visible" r:id="rId9"/>
  </sheets>
  <definedNames>
    <definedName function="false" hidden="false" localSheetId="2" name="_xlnm.Print_Area" vbProcedure="false">'CSU-RAW'!$A$1:$F$112</definedName>
    <definedName function="false" hidden="false" localSheetId="2" name="_xlnm.Print_Titles" vbProcedure="false">'CSU-RAW'!$1:$1</definedName>
    <definedName function="false" hidden="false" localSheetId="1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<sst xmlns="http://schemas.openxmlformats.org/spreadsheetml/2006/main" count="3248" uniqueCount="307">
  <si>
    <t xml:space="preserve">Ignore all CBF1 files- data will not be analysed</t>
  </si>
  <si>
    <t xml:space="preserve">Ignore all Olive files</t>
  </si>
  <si>
    <t xml:space="preserve">Ignore Filly CBT1 on 9 Oct 2023</t>
  </si>
  <si>
    <t xml:space="preserve">Run check to see how many N bucket GO responses exceed 30s in first 3 days</t>
  </si>
  <si>
    <t xml:space="preserve">Note that Maple is actually Filly (updated 16Oct2024)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</si>
  <si>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</si>
  <si>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</si>
  <si>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</si>
  <si>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</si>
  <si>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</si>
  <si>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</t>
  </si>
  <si>
    <t xml:space="preserve">Comment</t>
  </si>
  <si>
    <t xml:space="preserve">CBF1</t>
  </si>
  <si>
    <t xml:space="preserve">Teddy</t>
  </si>
  <si>
    <t xml:space="preserve">P</t>
  </si>
  <si>
    <t xml:space="preserve">NA</t>
  </si>
  <si>
    <t xml:space="preserve">Go Button triggered early</t>
  </si>
  <si>
    <t xml:space="preserve">NoGo response when should be Go response</t>
  </si>
  <si>
    <t xml:space="preserve">Dodge</t>
  </si>
  <si>
    <t xml:space="preserve">Early horse release- button not pressed</t>
  </si>
  <si>
    <t xml:space="preserve">Late button press for GO</t>
  </si>
  <si>
    <t xml:space="preserve">?</t>
  </si>
  <si>
    <t xml:space="preserve">Maple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</si>
  <si>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</si>
  <si>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</si>
  <si>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</si>
  <si>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</si>
  <si>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</si>
  <si>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</si>
  <si>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Dougie</t>
  </si>
  <si>
    <t xml:space="preserve">Bonnie</t>
  </si>
  <si>
    <t xml:space="preserve">NoGo response when should be Go response time 18.49</t>
  </si>
  <si>
    <t xml:space="preserve">Apollo</t>
  </si>
  <si>
    <t xml:space="preserve">CBF2</t>
  </si>
  <si>
    <t xml:space="preserve">Atom</t>
  </si>
  <si>
    <t xml:space="preserve">N</t>
  </si>
  <si>
    <t xml:space="preserve">NoGo response criterion, not Go response</t>
  </si>
  <si>
    <t xml:space="preserve">Go response- operator error</t>
  </si>
  <si>
    <t xml:space="preserve">Ash</t>
  </si>
  <si>
    <t xml:space="preserve">Go response triggered but NoGo</t>
  </si>
  <si>
    <t xml:space="preserve">Slow horse release</t>
  </si>
  <si>
    <t xml:space="preserve">NoGo response when should be Go response time</t>
  </si>
  <si>
    <t xml:space="preserve">Late button press for GO-17:05- 43s delay?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</si>
  <si>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</si>
  <si>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</si>
  <si>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</si>
  <si>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</si>
  <si>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Go response just after 60s should be crierion? </t>
  </si>
  <si>
    <t xml:space="preserve">CBR1</t>
  </si>
  <si>
    <t xml:space="preserve">CBF3</t>
  </si>
  <si>
    <t xml:space="preserve">Horse released late</t>
  </si>
  <si>
    <t xml:space="preserve">Mowgli</t>
  </si>
  <si>
    <t xml:space="preserve">Shy</t>
  </si>
  <si>
    <t xml:space="preserve">Camera battery change</t>
  </si>
  <si>
    <t xml:space="preserve">Early horse release before button not pressed</t>
  </si>
  <si>
    <t xml:space="preserve">Mess</t>
  </si>
  <si>
    <t xml:space="preserve">Wrong  test- in system as random but is fixed. </t>
  </si>
  <si>
    <t xml:space="preserve">CBR2</t>
  </si>
  <si>
    <t xml:space="preserve">CBT1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</si>
  <si>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</si>
  <si>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</si>
  <si>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</si>
  <si>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Check!</t>
  </si>
  <si>
    <t xml:space="preserve">Positive bucket in wrong spot- criterion response</t>
  </si>
  <si>
    <t xml:space="preserve">Did CBR2 not CBTest 1</t>
  </si>
  <si>
    <t xml:space="preserve">Was it a Go or NoGo- NoGo on log</t>
  </si>
  <si>
    <t xml:space="preserve">Late button press for GO?</t>
  </si>
  <si>
    <t xml:space="preserve">Two buckets, did not addect criterion?</t>
  </si>
  <si>
    <t xml:space="preserve">M</t>
  </si>
  <si>
    <t xml:space="preserve">Blue button not working-16:05:45</t>
  </si>
  <si>
    <t xml:space="preserve">NP</t>
  </si>
  <si>
    <t xml:space="preserve">RPA3</t>
  </si>
  <si>
    <t xml:space="preserve">No footage</t>
  </si>
  <si>
    <t xml:space="preserve">CBT2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</si>
  <si>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</si>
  <si>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</si>
  <si>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</si>
  <si>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</si>
  <si>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</si>
  <si>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</si>
  <si>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</si>
  <si>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</si>
  <si>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</si>
  <si>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</si>
  <si>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NoGo to NP </t>
  </si>
  <si>
    <t xml:space="preserve">Check HRM</t>
  </si>
  <si>
    <t xml:space="preserve">HRM restarted</t>
  </si>
  <si>
    <t xml:space="preserve">Check time- just timed out on Nogo to N bucket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</si>
  <si>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</si>
  <si>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</si>
  <si>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</si>
  <si>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</si>
  <si>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</si>
  <si>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</si>
  <si>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</si>
  <si>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</si>
  <si>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</si>
  <si>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</si>
  <si>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</si>
  <si>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</si>
  <si>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CBT3</t>
  </si>
  <si>
    <t xml:space="preserve">Check video- horse checked Neg bucket at 30s?</t>
  </si>
  <si>
    <t xml:space="preserve">33 trials</t>
  </si>
  <si>
    <t xml:space="preserve">CBT4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</si>
  <si>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</si>
  <si>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</si>
  <si>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</si>
  <si>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</si>
  <si>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</si>
  <si>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Go button late</t>
  </si>
  <si>
    <t xml:space="preserve">RPER</t>
  </si>
  <si>
    <t xml:space="preserve">Shy trial paused</t>
  </si>
  <si>
    <t xml:space="preserve">NN</t>
  </si>
  <si>
    <t xml:space="preserve">Trial not timed</t>
  </si>
  <si>
    <t xml:space="preserve">11 sec 31 millisec go</t>
  </si>
  <si>
    <t xml:space="preserve">George</t>
  </si>
  <si>
    <t xml:space="preserve">Myrtle</t>
  </si>
  <si>
    <t xml:space="preserve">Yoshi</t>
  </si>
  <si>
    <t xml:space="preserve">Got 11 pos buckets and last nogo was a go</t>
  </si>
  <si>
    <t xml:space="preserve">Dusty</t>
  </si>
  <si>
    <t xml:space="preserve">16/17</t>
  </si>
  <si>
    <t xml:space="preserve">Horse shied</t>
  </si>
  <si>
    <t xml:space="preserve">Gio</t>
  </si>
  <si>
    <t xml:space="preserve">NoGo response when should be Go response- no food in bucket</t>
  </si>
  <si>
    <t xml:space="preserve">Right corner Sony not turned on until trial 5</t>
  </si>
  <si>
    <t xml:space="preserve">Olive</t>
  </si>
  <si>
    <t xml:space="preserve">Escaped arena</t>
  </si>
  <si>
    <t xml:space="preserve">Clover</t>
  </si>
  <si>
    <t xml:space="preserve">Interrupted restart the program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</si>
  <si>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</si>
  <si>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</si>
  <si>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</si>
  <si>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</si>
  <si>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Shy at birds</t>
  </si>
  <si>
    <t xml:space="preserve">Probs with roboto, two files</t>
  </si>
  <si>
    <t xml:space="preserve">Go response- wrong buckets</t>
  </si>
  <si>
    <t xml:space="preserve">No button press- resp is criterion</t>
  </si>
  <si>
    <t xml:space="preserve">Smudge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</si>
  <si>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</si>
  <si>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</si>
  <si>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</si>
  <si>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20 s</t>
  </si>
  <si>
    <t xml:space="preserve">Criterion</t>
  </si>
  <si>
    <t xml:space="preserve">Restart at trial 19-check no of files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</si>
  <si>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</si>
  <si>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</si>
  <si>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</si>
  <si>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</si>
  <si>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CBR3</t>
  </si>
  <si>
    <t xml:space="preserve">Go response triggered but Not registered</t>
  </si>
  <si>
    <t xml:space="preserve">Go button pressed too early</t>
  </si>
  <si>
    <t xml:space="preserve">Two buckets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</si>
  <si>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</si>
  <si>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</si>
  <si>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</si>
  <si>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</si>
  <si>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</si>
  <si>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As per the sheet</t>
  </si>
  <si>
    <t xml:space="preserve">Freya</t>
  </si>
  <si>
    <t xml:space="preserve">Windy/rain storm, did not approach first Pos bucket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</si>
  <si>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</si>
  <si>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</si>
  <si>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</si>
  <si>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</si>
  <si>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Pos bucket on wrong side- late Go response due to wrong bucket side</t>
  </si>
  <si>
    <t xml:space="preserve">No Sony vid</t>
  </si>
  <si>
    <t xml:space="preserve">Two files due to criterion count</t>
  </si>
  <si>
    <t xml:space="preserve">Just timed out on Neg bucket for NoGo- check vid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</si>
  <si>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</si>
  <si>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</si>
  <si>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</si>
  <si>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</si>
  <si>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Bucket on the wrong side</t>
  </si>
  <si>
    <t xml:space="preserve">Two buckets- check video</t>
  </si>
  <si>
    <t xml:space="preserve">Did not touch. Bucket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</si>
  <si>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</si>
  <si>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</si>
  <si>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</si>
  <si>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</si>
  <si>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</si>
  <si>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</si>
  <si>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</si>
  <si>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</si>
  <si>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</si>
  <si>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</si>
  <si>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</si>
  <si>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Broke robot two files</t>
  </si>
  <si>
    <t xml:space="preserve">Video and log don't match but NoGO is criterion</t>
  </si>
  <si>
    <t xml:space="preserve">OK on log-Nogo</t>
  </si>
  <si>
    <t xml:space="preserve">Button pressed late?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</si>
  <si>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</si>
  <si>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</si>
  <si>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</si>
  <si>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</si>
  <si>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</si>
  <si>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</si>
  <si>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Start tone</t>
  </si>
  <si>
    <t xml:space="preserve">Touch</t>
  </si>
  <si>
    <t xml:space="preserve">ExperimentDate</t>
  </si>
  <si>
    <t xml:space="preserve">SessionType</t>
  </si>
  <si>
    <t xml:space="preserve">SubjectName</t>
  </si>
  <si>
    <t xml:space="preserve">TrialNumber</t>
  </si>
  <si>
    <t xml:space="preserve">TrialType</t>
  </si>
  <si>
    <t xml:space="preserve">ResponseTime</t>
  </si>
  <si>
    <t xml:space="preserve">ResponseType</t>
  </si>
  <si>
    <t xml:space="preserve">Comment_Time</t>
  </si>
  <si>
    <t xml:space="preserve">LogFilename</t>
  </si>
  <si>
    <t xml:space="preserve">CorrectTable</t>
  </si>
  <si>
    <t xml:space="preserve">CorrectField</t>
  </si>
  <si>
    <t xml:space="preserve">CurrentValue</t>
  </si>
  <si>
    <t xml:space="preserve">CorrectValue</t>
  </si>
  <si>
    <t xml:space="preserve">GO</t>
  </si>
  <si>
    <t xml:space="preserve">Experiment_2023-10-07T10:47:41.820683_atom_3_Training - fixed.log</t>
  </si>
  <si>
    <t xml:space="preserve">TrialCBs, ResponseCBs</t>
  </si>
  <si>
    <t xml:space="preserve">ResponseType, ResponseTime</t>
  </si>
  <si>
    <t xml:space="preserve">CH, CH</t>
  </si>
  <si>
    <t xml:space="preserve">CH indicates no value provided (provide a small sample of current values)</t>
  </si>
  <si>
    <t xml:space="preserve">NOGO</t>
  </si>
  <si>
    <t xml:space="preserve">Experiment_2023-10-07T13:42:36.274776_teddy_2_Training - fixed.log</t>
  </si>
  <si>
    <t xml:space="preserve">Experiment_2023-10-07T14:30:16.073357_dodge_2_Training - fixed.log</t>
  </si>
  <si>
    <t xml:space="preserve">Experiment_2023-10-07T16:55:59.174334_bonnie_55_Training - fixed.log</t>
  </si>
  <si>
    <t xml:space="preserve">Experiment_2023-10-07T18:06:05.305535_molly_3_Training - fixed.log</t>
  </si>
  <si>
    <t xml:space="preserve">Experiment_2023-10-08T10:29:55.247254_atom_5_Training randomised Type 1.log</t>
  </si>
  <si>
    <t xml:space="preserve">Late button press for GO - 60s timeout</t>
  </si>
  <si>
    <t xml:space="preserve">Experiment_2023-10-08T11:03:05.275380_ash_4_Training - fixed.log</t>
  </si>
  <si>
    <t xml:space="preserve">Changed to NOGO</t>
  </si>
  <si>
    <t xml:space="preserve">Experiment_2023-10-08T11:48:24.989885_mowgli_3_Training - fixed.log</t>
  </si>
  <si>
    <t xml:space="preserve">Experiment_2023-10-08T12:20:50.954677_teddy_3_Training - fixed.log</t>
  </si>
  <si>
    <t xml:space="preserve">Filly</t>
  </si>
  <si>
    <t xml:space="preserve">Experiment_2023-10-08T13:50:54.095550_filly_6_Training randomised Type 1.log</t>
  </si>
  <si>
    <t xml:space="preserve">Experiment_2023-10-08T16:09:32.654028_bonnie_56_Training - fixed.log</t>
  </si>
  <si>
    <t xml:space="preserve">Experiment_2023-10-08T17:40:21.611860_molly_4_Training randomised Type 1.log</t>
  </si>
  <si>
    <t xml:space="preserve">Experiment_2023-10-09T11:42:20.024754_ash_5_Training randomised Type 1.log</t>
  </si>
  <si>
    <t xml:space="preserve">Experiment_2023-10-09T15:25:36.471599_dougie_7_Training randomised Type 2.log</t>
  </si>
  <si>
    <t xml:space="preserve">Experiment_2023-10-09T17:04:07.650916_bonnie_63_Training randomised Type 1.log</t>
  </si>
  <si>
    <t xml:space="preserve">Experiment_2023-10-10T11:11:42.463329_ash_6_Test Type 1.log</t>
  </si>
  <si>
    <t xml:space="preserve">Experiment_2023-10-10T12:20:12.178833_teddy_5_Test Type 1.log</t>
  </si>
  <si>
    <t xml:space="preserve">Experiment_2023-10-10T16:00:54.429454_dougie_8_Test Type 1.log</t>
  </si>
  <si>
    <t xml:space="preserve">Experiment_2023-10-11T09:46:53.960298_molly_8_Test Type 1.log</t>
  </si>
  <si>
    <t xml:space="preserve">Experiment_2023-10-11T10:26:14.965471_atom_8_Test Type 1.log</t>
  </si>
  <si>
    <t xml:space="preserve">Experiment_2023-10-17T11:03:37.586522_apollo_8_Test Type 2.log</t>
  </si>
  <si>
    <t xml:space="preserve">Experiment_2023-10-17T12:35:26.511897_teddy_6_Test Type 2.log</t>
  </si>
  <si>
    <t xml:space="preserve">Experiment_2023-10-17T14:37:07.416285_bonnie_77_Test Type 2.log</t>
  </si>
  <si>
    <t xml:space="preserve">Experiment_2023-10-20T11:05:31.583763_ash_9_Test Type 3.log</t>
  </si>
  <si>
    <t xml:space="preserve">CBt3</t>
  </si>
  <si>
    <t xml:space="preserve">Experiment_2023-10-20T15:32:07.559818_dougie_10_Test Type 3.log</t>
  </si>
  <si>
    <t xml:space="preserve">Experiment_2023-10-20T17:37:43.849099_ash_10_Test Type 1.log</t>
  </si>
  <si>
    <t xml:space="preserve">Experiment_2023-10-21T11:03:39.830387_mowgli_8_Test Type 1.log</t>
  </si>
  <si>
    <t xml:space="preserve">Experiment_2023-10-21T13:11:05.817830_dodge_7_Test Type 3.log</t>
  </si>
  <si>
    <t xml:space="preserve">Experiment_2023-10-21T16:51:13.820180_apollo_9_Test Type 3.log</t>
  </si>
  <si>
    <t xml:space="preserve">Experiment_2023-10-22T10:49:33.650259_dodge_8_Test Type 1.log</t>
  </si>
  <si>
    <t xml:space="preserve">Experiment_2023-10-22T11:36:41.453331_bonnie_79_Test Type 1.log</t>
  </si>
  <si>
    <t xml:space="preserve">Experiment_2023-11-13T06:36:50.258957_myrtle_2.0_Training - fixed</t>
  </si>
  <si>
    <t xml:space="preserve">Experiment_2023-11-13T07:17:20.615404_yoshi_2.0_Training - fixed</t>
  </si>
  <si>
    <t xml:space="preserve">Experiment_2023-11-13T08:28:59.797750_gio_2.0_Training - fixed</t>
  </si>
  <si>
    <t xml:space="preserve">Experiment_2023-11-13T10:22:11.789817_dusty_2.0_Training - fixed</t>
  </si>
  <si>
    <t xml:space="preserve">Experiment_2023-11-13T13:01:26.435669_clover_nan_Training - fixed</t>
  </si>
  <si>
    <t xml:space="preserve">N </t>
  </si>
  <si>
    <t xml:space="preserve">Check if NOGO</t>
  </si>
  <si>
    <t xml:space="preserve">Experiment_2023-11-13T16:34:23.409480_nix_3.0_Training randomised Type 1</t>
  </si>
  <si>
    <t xml:space="preserve">Experiment_2023-11-13T17:24:29.152222_gio_3.0_Training randomised Type 1</t>
  </si>
  <si>
    <t xml:space="preserve">Experiment_2023-11-13T18:03:46.698927_dusty_3.0_Training randomised Type 1</t>
  </si>
  <si>
    <t xml:space="preserve">Go response- wrong buckets-extrapolated</t>
  </si>
  <si>
    <t xml:space="preserve">Experiment_2023-11-13T20:54:16.427672_clover_nan_Training randomised Type 1</t>
  </si>
  <si>
    <t xml:space="preserve">Experiment_2023-11-14T00:45:14.508317_myrtle_4.0_Training randomised Type 2</t>
  </si>
  <si>
    <t xml:space="preserve">Note combine two files</t>
  </si>
  <si>
    <t xml:space="preserve">Experiment_2023-11-14T01:18:45.941991_myrtle_5.0_Training randomised Type 2</t>
  </si>
  <si>
    <t xml:space="preserve">Experiment_2023-11-14T04:07:06.316598_gio_4.0_Training randomised Type 2</t>
  </si>
  <si>
    <t xml:space="preserve">Should be NULL ResponseType  - leave blank</t>
  </si>
  <si>
    <t xml:space="preserve">Experiment_2023-11-14T10:23:47.643202_myrtle_6.0_Training randomised Type 1</t>
  </si>
  <si>
    <t xml:space="preserve">Experiment_2023-11-14T12:13:40.543722_dusty_6.0_Training randomised Type 1</t>
  </si>
  <si>
    <t xml:space="preserve">Change session ID on MB's file</t>
  </si>
  <si>
    <t xml:space="preserve">Experiment_2023-11-14T12:37:30.469954_gio_5.0_Test Type 1</t>
  </si>
  <si>
    <t xml:space="preserve">Pumba</t>
  </si>
  <si>
    <t xml:space="preserve">Experiment_2023-11-14T15:40:26.284336_pumba_nan_Training randomised Type 2</t>
  </si>
  <si>
    <t xml:space="preserve">Experiment_2023-11-14T17:14:25.139579_jelly_6.0_Test Type 1</t>
  </si>
  <si>
    <t xml:space="preserve">Experiment_2023-11-14T18:48:28.476282_myrtle_8.0_Test Type 1</t>
  </si>
  <si>
    <t xml:space="preserve">Experiment_2023-11-14T19:16:58.918521_yoshi_6.0_Training randomised Type 1</t>
  </si>
  <si>
    <t xml:space="preserve">Keep original values</t>
  </si>
  <si>
    <t xml:space="preserve">Experiment_2023-11-14T23:17:57.967289_freya_nan_Test Type 2</t>
  </si>
  <si>
    <t xml:space="preserve">Experiment_2023-11-15T02:59:50.231712_george_6.0_Test Type 2</t>
  </si>
  <si>
    <t xml:space="preserve"> Errors in test- 7N + 5P</t>
  </si>
  <si>
    <t xml:space="preserve">Experiment_2023-11-15T04:42:42.109160_nix_9.0_Test Type 1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</si>
  <si>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</si>
  <si>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</si>
  <si>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</si>
  <si>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</si>
  <si>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Experiment_2023-11-15T05:22:53.513691_gio_6.0_Test Type 2</t>
  </si>
  <si>
    <t xml:space="preserve">Experiment_2023-11-15T16:42:36.211643_smudge_8.0_Test Type 2</t>
  </si>
  <si>
    <t xml:space="preserve">Experiment_2023-11-15T18:35:59.371714_yoshi_9.0_Test Type 2</t>
  </si>
  <si>
    <t xml:space="preserve">Errors in test at trial 11 a N was run instead of a P.  An extra trial was added so horse did 16 trials</t>
  </si>
  <si>
    <t xml:space="preserve">Experiment_2023-11-15T23:18:27.463685_clover_nan_Test Type 2</t>
  </si>
  <si>
    <t xml:space="preserve">Was run as N, then repeated so horse did extra 11 (P). </t>
  </si>
  <si>
    <t xml:space="preserve">Experiment_2023-11-16T09:12:31.465402_nix_10.0_Test Type 3</t>
  </si>
  <si>
    <t xml:space="preserve">Two buckets (extra trial?)</t>
  </si>
  <si>
    <t xml:space="preserve">Experiment_2023-11-16T15:46:42.899255_nix_11.0_Test Type 1</t>
  </si>
  <si>
    <t xml:space="preserve">Experiment_2023-11-16T17:55:24.333022_gio_9.0_Test Type 1</t>
  </si>
  <si>
    <t xml:space="preserve">Experiment_2023-11-16T19:24:59.492473_jelly_9.0_Test Type 1</t>
  </si>
  <si>
    <t xml:space="preserve">Experiment_2023-11-16T20:27:00.214523_smudge_10.0_Test Type 1</t>
  </si>
  <si>
    <t xml:space="preserve">Experiment_2023-11-16T21:17:46.006067_myrtle_10.0_Test Type 3</t>
  </si>
  <si>
    <t xml:space="preserve">Experiment_2023-11-16T22:01:25.798273_yoshi_10.0_Test Type 3</t>
  </si>
  <si>
    <t xml:space="preserve">Experiment_2023-11-16T23:55:33.357304_dusty_9.0_Test Type 3</t>
  </si>
  <si>
    <t xml:space="preserve">Experiment_2023-11-17T04:05:53.213724_dusty_10.0_Test Type 1</t>
  </si>
  <si>
    <t xml:space="preserve">Bucket on the wrong side- was N, should have been P</t>
  </si>
  <si>
    <t xml:space="preserve">Bucket on the wrong side was P, should have been N</t>
  </si>
  <si>
    <t xml:space="preserve">There is no file for this session because the robot malfunctioned.  So will need to be created- can do this once the data has been exported to excel from duckdb</t>
  </si>
  <si>
    <t xml:space="preserve">Experiment_2023-11-13T20/49/33.970464_clover_nan_Training randomised Type 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</si>
</sst>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\-mmm"/>
    <numFmt numFmtId="166" formatCode="@"/>
    <numFmt numFmtId="167" formatCode="h:mm"/>
    <numFmt numFmtId="168" formatCode="0.00"/>
  </numFmts>
  <fonts count="9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  <font>
      <b val="true"/>
      <sz val="9"/>
      <color theme="1"/>
      <name val="Courier New"/>
      <family val="3"/>
      <charset val="1"/>
    </font>
    <font>
      <b val="true"/>
      <sz val="12"/>
      <color theme="1"/>
      <name val="Aptos Narrow"/>
      <family val="2"/>
      <charset val="1"/>
    </font>
    <font>
      <sz val="9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EEEEEE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rgb="FF8E86AE"/>
        <bgColor rgb="FF808080"/>
      </patternFill>
    </fill>
    <fill>
      <patternFill patternType="solid">
        <fgColor rgb="FF81D41A"/>
        <bgColor rgb="FF84E291"/>
      </patternFill>
    </fill>
    <fill>
      <patternFill patternType="solid">
        <fgColor rgb="FFFFFFA6"/>
        <bgColor rgb="FFFFFF6D"/>
      </patternFill>
    </fill>
    <fill>
      <patternFill patternType="solid">
        <fgColor theme="6" tint="0.5998"/>
        <bgColor rgb="FF81D41A"/>
      </patternFill>
    </fill>
    <fill>
      <patternFill patternType="solid">
        <fgColor rgb="FFFFFF6D"/>
        <bgColor rgb="FFFFFFA6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E86AE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4E291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FFFF6D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6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84E291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8E86A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0.5078125" defaultRowHeight="15.75" zeroHeight="false" outlineLevelRow="0" outlineLevelCol="0"/>
  <sheetData>
    <row r="1" customFormat="false" ht="15.75" hidden="false" customHeight="true" outlineLevel="0" collapsed="false">
      <c r="A1" s="1" t="s">
        <v>0</v>
      </c>
    </row>
    <row r="2" customFormat="false" ht="15.75" hidden="false" customHeight="true" outlineLevel="0" collapsed="false">
      <c r="A2" s="1" t="s">
        <v>1</v>
      </c>
    </row>
    <row r="3" customFormat="false" ht="15.75" hidden="false" customHeight="true" outlineLevel="0" collapsed="false">
      <c r="A3" s="1" t="s">
        <v>2</v>
      </c>
    </row>
    <row r="4" customFormat="false" ht="15.75" hidden="false" customHeight="true" outlineLevel="0" collapsed="false">
      <c r="A4" s="1" t="s">
        <v>3</v>
      </c>
    </row>
    <row r="6" customFormat="false" ht="15.75" hidden="false" customHeight="true" outlineLevel="0" collapsed="false">
      <c r="A6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10" zoomScaleNormal="110" zoomScalePageLayoutView="100" workbookViewId="0">
      <selection pane="topLeft" activeCell="A93" activeCellId="0" sqref="A93"/>
    </sheetView>
  </sheetViews>
  <sheetFormatPr defaultColWidth="10.507812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" width="10.82"/>
    <col collapsed="false" customWidth="true" hidden="false" outlineLevel="0" max="3" min="3" style="2" width="10.66"/>
    <col collapsed="false" customWidth="true" hidden="false" outlineLevel="0" max="4" min="4" style="3" width="6.16"/>
    <col collapsed="false" customWidth="true" hidden="false" outlineLevel="0" max="5" min="5" style="2" width="10.82"/>
    <col collapsed="false" customWidth="true" hidden="false" outlineLevel="0" max="6" min="6" style="1" width="10.82"/>
  </cols>
  <sheetData>
    <row r="1" s="4" customFormat="true" ht="15.75" hidden="false" customHeight="true" outlineLevel="0" collapsed="false">
      <c r="A1" s="4" t="s">
        <v>5</v>
      </c>
      <c r="B1" s="5" t="s">
        <v>6</v>
      </c>
      <c r="C1" s="5" t="s">
        <v>7</v>
      </c>
      <c r="D1" s="6" t="s">
        <v>8</v>
      </c>
      <c r="E1" s="5" t="s">
        <v>9</v>
      </c>
      <c r="F1" s="4" t="s">
        <v>10</v>
      </c>
      <c r="G1" s="4" t="s">
        <v>11</v>
      </c>
    </row>
    <row r="2" s="9" customFormat="true" ht="15.75" hidden="false" customHeight="true" outlineLevel="0" collapsed="false">
      <c r="A2" s="7" t="n">
        <v>45205</v>
      </c>
      <c r="B2" s="8" t="s">
        <v>12</v>
      </c>
      <c r="C2" s="8" t="s">
        <v>13</v>
      </c>
      <c r="D2" s="9" t="n">
        <v>1</v>
      </c>
      <c r="E2" s="9" t="s">
        <v>14</v>
      </c>
      <c r="F2" s="9" t="s">
        <v>15</v>
      </c>
      <c r="G2" s="9" t="s">
        <v>16</v>
      </c>
    </row>
    <row r="3" customFormat="false" ht="15.75" hidden="false" customHeight="true" outlineLevel="0" collapsed="false">
      <c r="D3" s="3" t="n">
        <v>7</v>
      </c>
      <c r="E3" s="2" t="s">
        <v>14</v>
      </c>
      <c r="F3" s="1" t="s">
        <v>15</v>
      </c>
      <c r="G3" s="1" t="s">
        <v>17</v>
      </c>
    </row>
    <row r="4" s="9" customFormat="true" ht="15.75" hidden="false" customHeight="true" outlineLevel="0" collapsed="false">
      <c r="B4" s="8" t="s">
        <v>12</v>
      </c>
      <c r="C4" s="8" t="s">
        <v>18</v>
      </c>
      <c r="D4" s="9" t="n">
        <v>3</v>
      </c>
      <c r="E4" s="9" t="s">
        <v>14</v>
      </c>
      <c r="F4" s="9" t="s">
        <v>15</v>
      </c>
      <c r="G4" s="9" t="s">
        <v>19</v>
      </c>
    </row>
    <row r="5" customFormat="false" ht="15.75" hidden="false" customHeight="true" outlineLevel="0" collapsed="false">
      <c r="D5" s="3" t="n">
        <v>8</v>
      </c>
      <c r="E5" s="2" t="s">
        <v>14</v>
      </c>
      <c r="F5" s="1" t="s">
        <v>15</v>
      </c>
      <c r="G5" s="1" t="s">
        <v>20</v>
      </c>
    </row>
    <row r="6" customFormat="false" ht="15.75" hidden="false" customHeight="true" outlineLevel="0" collapsed="false">
      <c r="D6" s="3" t="s">
        <v>21</v>
      </c>
      <c r="F6" s="1" t="s">
        <v>15</v>
      </c>
      <c r="G6" s="1" t="s">
        <v>20</v>
      </c>
    </row>
    <row r="7" s="9" customFormat="true" ht="15.75" hidden="false" customHeight="true" outlineLevel="0" collapsed="false">
      <c r="B7" s="8" t="s">
        <v>12</v>
      </c>
      <c r="C7" s="8" t="s">
        <v>22</v>
      </c>
      <c r="D7" s="10"/>
      <c r="E7" s="8"/>
      <c r="F7" s="9" t="s">
        <v>15</v>
      </c>
      <c r="G7" s="9" t="s">
        <v>23</v>
      </c>
    </row>
    <row r="8" customFormat="false" ht="15.75" hidden="false" customHeight="true" outlineLevel="0" collapsed="false">
      <c r="G8" s="1" t="s">
        <v>24</v>
      </c>
    </row>
    <row r="9" customFormat="false" ht="15.75" hidden="false" customHeight="true" outlineLevel="0" collapsed="false">
      <c r="G9" s="1" t="s">
        <v>25</v>
      </c>
    </row>
    <row r="10" customFormat="false" ht="15.75" hidden="false" customHeight="true" outlineLevel="0" collapsed="false">
      <c r="G10" s="1" t="s">
        <v>26</v>
      </c>
    </row>
    <row r="11" customFormat="false" ht="15.75" hidden="false" customHeight="true" outlineLevel="0" collapsed="false">
      <c r="G11" s="1" t="s">
        <v>27</v>
      </c>
    </row>
    <row r="12" customFormat="false" ht="15.75" hidden="false" customHeight="true" outlineLevel="0" collapsed="false">
      <c r="G12" s="1" t="s">
        <v>28</v>
      </c>
    </row>
    <row r="13" customFormat="false" ht="15.75" hidden="false" customHeight="true" outlineLevel="0" collapsed="false">
      <c r="D13" s="3" t="n">
        <v>1</v>
      </c>
      <c r="G13" s="1" t="s">
        <v>20</v>
      </c>
    </row>
    <row r="14" s="9" customFormat="true" ht="15.75" hidden="false" customHeight="true" outlineLevel="0" collapsed="false">
      <c r="B14" s="8" t="s">
        <v>12</v>
      </c>
      <c r="C14" s="8" t="s">
        <v>29</v>
      </c>
      <c r="D14" s="10" t="n">
        <v>3</v>
      </c>
      <c r="E14" s="8" t="s">
        <v>14</v>
      </c>
      <c r="G14" s="9" t="s">
        <v>20</v>
      </c>
    </row>
    <row r="15" customFormat="false" ht="15.75" hidden="false" customHeight="true" outlineLevel="0" collapsed="false">
      <c r="D15" s="3" t="n">
        <v>1</v>
      </c>
      <c r="E15" s="2" t="s">
        <v>14</v>
      </c>
      <c r="G15" s="1" t="s">
        <v>20</v>
      </c>
    </row>
    <row r="16" s="9" customFormat="true" ht="15.75" hidden="false" customHeight="true" outlineLevel="0" collapsed="false">
      <c r="B16" s="8" t="s">
        <v>12</v>
      </c>
      <c r="C16" s="8" t="s">
        <v>30</v>
      </c>
      <c r="D16" s="10" t="n">
        <v>10</v>
      </c>
      <c r="E16" s="8" t="s">
        <v>14</v>
      </c>
      <c r="G16" s="9" t="s">
        <v>19</v>
      </c>
    </row>
    <row r="17" customFormat="false" ht="15.75" hidden="false" customHeight="true" outlineLevel="0" collapsed="false">
      <c r="D17" s="3" t="n">
        <v>3</v>
      </c>
      <c r="E17" s="2" t="s">
        <v>14</v>
      </c>
      <c r="G17" s="1" t="s">
        <v>31</v>
      </c>
    </row>
    <row r="18" s="9" customFormat="true" ht="15.75" hidden="false" customHeight="true" outlineLevel="0" collapsed="false">
      <c r="B18" s="8" t="s">
        <v>12</v>
      </c>
      <c r="C18" s="8" t="s">
        <v>32</v>
      </c>
      <c r="D18" s="10" t="n">
        <v>1</v>
      </c>
      <c r="E18" s="8" t="s">
        <v>14</v>
      </c>
      <c r="G18" s="9" t="s">
        <v>20</v>
      </c>
    </row>
    <row r="19" s="9" customFormat="true" ht="15.75" hidden="false" customHeight="true" outlineLevel="0" collapsed="false">
      <c r="A19" s="7" t="n">
        <v>45206</v>
      </c>
      <c r="B19" s="8" t="s">
        <v>33</v>
      </c>
      <c r="C19" s="8" t="s">
        <v>34</v>
      </c>
      <c r="D19" s="10" t="n">
        <v>2</v>
      </c>
      <c r="E19" s="8" t="s">
        <v>14</v>
      </c>
      <c r="G19" s="9" t="s">
        <v>20</v>
      </c>
    </row>
    <row r="20" customFormat="false" ht="15.75" hidden="false" customHeight="true" outlineLevel="0" collapsed="false">
      <c r="D20" s="3" t="n">
        <v>6</v>
      </c>
      <c r="E20" s="2" t="s">
        <v>14</v>
      </c>
      <c r="G20" s="1" t="s">
        <v>20</v>
      </c>
    </row>
    <row r="21" customFormat="false" ht="15.75" hidden="false" customHeight="true" outlineLevel="0" collapsed="false">
      <c r="D21" s="3" t="n">
        <v>11</v>
      </c>
      <c r="E21" s="2" t="s">
        <v>35</v>
      </c>
      <c r="G21" s="1" t="s">
        <v>36</v>
      </c>
    </row>
    <row r="22" customFormat="false" ht="15.75" hidden="false" customHeight="true" outlineLevel="0" collapsed="false">
      <c r="D22" s="3" t="n">
        <v>1</v>
      </c>
      <c r="E22" s="2" t="s">
        <v>14</v>
      </c>
      <c r="G22" s="1" t="s">
        <v>37</v>
      </c>
    </row>
    <row r="23" s="9" customFormat="true" ht="15.75" hidden="false" customHeight="true" outlineLevel="0" collapsed="false">
      <c r="B23" s="8"/>
      <c r="C23" s="8" t="s">
        <v>38</v>
      </c>
      <c r="D23" s="10" t="n">
        <v>5</v>
      </c>
      <c r="E23" s="8" t="s">
        <v>14</v>
      </c>
      <c r="G23" s="9" t="s">
        <v>20</v>
      </c>
    </row>
    <row r="24" s="9" customFormat="true" ht="15.75" hidden="false" customHeight="true" outlineLevel="0" collapsed="false">
      <c r="B24" s="8"/>
      <c r="C24" s="8" t="s">
        <v>13</v>
      </c>
      <c r="D24" s="10" t="n">
        <v>19</v>
      </c>
      <c r="E24" s="8" t="s">
        <v>35</v>
      </c>
      <c r="G24" s="9" t="s">
        <v>39</v>
      </c>
    </row>
    <row r="25" customFormat="false" ht="15.75" hidden="false" customHeight="true" outlineLevel="0" collapsed="false">
      <c r="D25" s="3" t="n">
        <v>1</v>
      </c>
      <c r="E25" s="2" t="s">
        <v>14</v>
      </c>
      <c r="G25" s="1" t="s">
        <v>20</v>
      </c>
    </row>
    <row r="26" s="9" customFormat="true" ht="15.75" hidden="false" customHeight="true" outlineLevel="0" collapsed="false">
      <c r="B26" s="8"/>
      <c r="C26" s="8" t="s">
        <v>18</v>
      </c>
      <c r="D26" s="10" t="n">
        <v>8</v>
      </c>
      <c r="E26" s="8" t="s">
        <v>14</v>
      </c>
      <c r="G26" s="9" t="s">
        <v>40</v>
      </c>
    </row>
    <row r="27" s="9" customFormat="true" ht="15.75" hidden="false" customHeight="true" outlineLevel="0" collapsed="false">
      <c r="B27" s="8"/>
      <c r="C27" s="8" t="s">
        <v>30</v>
      </c>
      <c r="D27" s="10" t="n">
        <v>5</v>
      </c>
      <c r="E27" s="8" t="s">
        <v>14</v>
      </c>
      <c r="G27" s="9" t="s">
        <v>41</v>
      </c>
    </row>
    <row r="28" customFormat="false" ht="15.75" hidden="false" customHeight="true" outlineLevel="0" collapsed="false">
      <c r="D28" s="3" t="n">
        <v>14</v>
      </c>
      <c r="E28" s="2" t="s">
        <v>35</v>
      </c>
      <c r="G28" s="1" t="s">
        <v>42</v>
      </c>
    </row>
    <row r="29" s="9" customFormat="true" ht="15.75" hidden="false" customHeight="true" outlineLevel="0" collapsed="false">
      <c r="B29" s="8"/>
      <c r="C29" s="8" t="s">
        <v>43</v>
      </c>
      <c r="D29" s="10" t="n">
        <v>4</v>
      </c>
      <c r="E29" s="8" t="s">
        <v>14</v>
      </c>
      <c r="G29" s="9" t="s">
        <v>44</v>
      </c>
    </row>
    <row r="30" customFormat="false" ht="15.75" hidden="false" customHeight="true" outlineLevel="0" collapsed="false">
      <c r="D30" s="3" t="n">
        <v>5</v>
      </c>
      <c r="E30" s="2" t="s">
        <v>14</v>
      </c>
      <c r="G30" s="1" t="s">
        <v>45</v>
      </c>
    </row>
    <row r="31" customFormat="false" ht="15.75" hidden="false" customHeight="true" outlineLevel="0" collapsed="false">
      <c r="D31" s="3" t="n">
        <v>8</v>
      </c>
      <c r="E31" s="2" t="s">
        <v>14</v>
      </c>
      <c r="G31" s="1" t="s">
        <v>46</v>
      </c>
    </row>
    <row r="32" s="9" customFormat="true" ht="15.75" hidden="false" customHeight="true" outlineLevel="0" collapsed="false">
      <c r="B32" s="2"/>
      <c r="C32" s="2"/>
      <c r="D32" s="3" t="n">
        <v>17</v>
      </c>
      <c r="E32" s="2" t="s">
        <v>35</v>
      </c>
      <c r="G32" s="9" t="s">
        <v>47</v>
      </c>
    </row>
    <row r="33" customFormat="false" ht="15.75" hidden="false" customHeight="true" outlineLevel="0" collapsed="false">
      <c r="A33" s="7" t="n">
        <v>45207</v>
      </c>
      <c r="B33" s="8" t="s">
        <v>48</v>
      </c>
      <c r="C33" s="8" t="s">
        <v>34</v>
      </c>
      <c r="D33" s="10" t="n">
        <v>11</v>
      </c>
      <c r="E33" s="8" t="s">
        <v>14</v>
      </c>
      <c r="F33" s="9"/>
      <c r="G33" s="9" t="s">
        <v>20</v>
      </c>
      <c r="H33" s="9"/>
      <c r="I33" s="9"/>
    </row>
    <row r="34" s="9" customFormat="true" ht="15.75" hidden="false" customHeight="true" outlineLevel="0" collapsed="false">
      <c r="B34" s="2"/>
      <c r="C34" s="2"/>
      <c r="D34" s="3" t="n">
        <v>17</v>
      </c>
      <c r="E34" s="2" t="s">
        <v>14</v>
      </c>
      <c r="G34" s="9" t="s">
        <v>20</v>
      </c>
    </row>
    <row r="35" customFormat="false" ht="15.75" hidden="false" customHeight="true" outlineLevel="0" collapsed="false">
      <c r="A35" s="9"/>
      <c r="B35" s="8" t="s">
        <v>49</v>
      </c>
      <c r="C35" s="8" t="s">
        <v>38</v>
      </c>
      <c r="D35" s="10" t="n">
        <v>1</v>
      </c>
      <c r="E35" s="8" t="s">
        <v>14</v>
      </c>
      <c r="F35" s="9"/>
      <c r="G35" s="9" t="s">
        <v>20</v>
      </c>
      <c r="H35" s="9"/>
      <c r="I35" s="9"/>
    </row>
    <row r="36" customFormat="false" ht="15.75" hidden="false" customHeight="true" outlineLevel="0" collapsed="false">
      <c r="D36" s="3" t="n">
        <v>8</v>
      </c>
      <c r="E36" s="2" t="s">
        <v>14</v>
      </c>
      <c r="G36" s="1" t="s">
        <v>50</v>
      </c>
    </row>
    <row r="37" s="9" customFormat="true" ht="15.75" hidden="false" customHeight="true" outlineLevel="0" collapsed="false">
      <c r="B37" s="2"/>
      <c r="C37" s="2"/>
      <c r="D37" s="3" t="n">
        <v>15</v>
      </c>
      <c r="E37" s="2" t="s">
        <v>35</v>
      </c>
      <c r="G37" s="9" t="s">
        <v>50</v>
      </c>
    </row>
    <row r="38" customFormat="false" ht="15.75" hidden="false" customHeight="true" outlineLevel="0" collapsed="false">
      <c r="A38" s="9"/>
      <c r="B38" s="8"/>
      <c r="C38" s="8" t="s">
        <v>51</v>
      </c>
      <c r="D38" s="10" t="n">
        <v>6</v>
      </c>
      <c r="E38" s="8" t="s">
        <v>14</v>
      </c>
      <c r="F38" s="9"/>
      <c r="G38" s="9" t="s">
        <v>20</v>
      </c>
      <c r="H38" s="9"/>
      <c r="I38" s="9"/>
    </row>
    <row r="39" customFormat="false" ht="15.75" hidden="false" customHeight="true" outlineLevel="0" collapsed="false">
      <c r="D39" s="3" t="n">
        <v>9</v>
      </c>
      <c r="E39" s="2" t="s">
        <v>14</v>
      </c>
      <c r="G39" s="1" t="s">
        <v>50</v>
      </c>
    </row>
    <row r="40" customFormat="false" ht="15.75" hidden="false" customHeight="true" outlineLevel="0" collapsed="false">
      <c r="A40" s="9"/>
      <c r="D40" s="3" t="n">
        <v>10</v>
      </c>
      <c r="E40" s="2" t="s">
        <v>14</v>
      </c>
      <c r="F40" s="9"/>
      <c r="G40" s="9" t="s">
        <v>50</v>
      </c>
      <c r="H40" s="9"/>
      <c r="I40" s="9"/>
    </row>
    <row r="41" s="9" customFormat="true" ht="15.75" hidden="false" customHeight="true" outlineLevel="0" collapsed="false">
      <c r="B41" s="8"/>
      <c r="C41" s="8" t="s">
        <v>13</v>
      </c>
      <c r="D41" s="10" t="n">
        <v>4</v>
      </c>
      <c r="E41" s="8" t="s">
        <v>14</v>
      </c>
      <c r="G41" s="9" t="s">
        <v>20</v>
      </c>
    </row>
    <row r="42" customFormat="false" ht="15.75" hidden="false" customHeight="true" outlineLevel="0" collapsed="false">
      <c r="D42" s="3" t="n">
        <v>8</v>
      </c>
      <c r="E42" s="2" t="s">
        <v>14</v>
      </c>
      <c r="G42" s="1" t="s">
        <v>20</v>
      </c>
    </row>
    <row r="43" s="9" customFormat="true" ht="15.75" hidden="false" customHeight="true" outlineLevel="0" collapsed="false">
      <c r="B43" s="2"/>
      <c r="C43" s="2"/>
      <c r="D43" s="3" t="n">
        <v>9</v>
      </c>
      <c r="E43" s="2" t="s">
        <v>14</v>
      </c>
      <c r="G43" s="9" t="s">
        <v>20</v>
      </c>
    </row>
    <row r="44" customFormat="false" ht="15.75" hidden="false" customHeight="true" outlineLevel="0" collapsed="false">
      <c r="A44" s="9"/>
      <c r="B44" s="8"/>
      <c r="C44" s="8" t="s">
        <v>18</v>
      </c>
      <c r="D44" s="10" t="n">
        <v>4</v>
      </c>
      <c r="E44" s="8" t="s">
        <v>14</v>
      </c>
      <c r="F44" s="9"/>
      <c r="G44" s="9" t="s">
        <v>52</v>
      </c>
      <c r="H44" s="9"/>
      <c r="I44" s="9"/>
    </row>
    <row r="45" s="9" customFormat="true" ht="15.75" hidden="false" customHeight="true" outlineLevel="0" collapsed="false">
      <c r="B45" s="2"/>
      <c r="C45" s="2"/>
      <c r="D45" s="3" t="n">
        <v>15</v>
      </c>
      <c r="E45" s="2" t="s">
        <v>35</v>
      </c>
      <c r="G45" s="9" t="s">
        <v>53</v>
      </c>
    </row>
    <row r="46" customFormat="false" ht="15.75" hidden="false" customHeight="true" outlineLevel="0" collapsed="false">
      <c r="A46" s="9"/>
      <c r="B46" s="8" t="s">
        <v>48</v>
      </c>
      <c r="C46" s="8" t="s">
        <v>22</v>
      </c>
      <c r="D46" s="10" t="n">
        <v>9</v>
      </c>
      <c r="E46" s="8"/>
      <c r="F46" s="9"/>
      <c r="G46" s="9" t="s">
        <v>20</v>
      </c>
      <c r="H46" s="9"/>
      <c r="I46" s="9"/>
    </row>
    <row r="47" customFormat="false" ht="15.75" hidden="false" customHeight="true" outlineLevel="0" collapsed="false">
      <c r="A47" s="9"/>
      <c r="D47" s="3" t="n">
        <v>11</v>
      </c>
      <c r="E47" s="2" t="s">
        <v>14</v>
      </c>
      <c r="F47" s="9"/>
      <c r="G47" s="9" t="s">
        <v>20</v>
      </c>
      <c r="H47" s="9"/>
      <c r="I47" s="9"/>
    </row>
    <row r="48" customFormat="false" ht="15.75" hidden="false" customHeight="true" outlineLevel="0" collapsed="false">
      <c r="A48" s="9"/>
      <c r="B48" s="8" t="s">
        <v>49</v>
      </c>
      <c r="C48" s="8" t="s">
        <v>30</v>
      </c>
      <c r="D48" s="10" t="n">
        <v>2</v>
      </c>
      <c r="E48" s="8"/>
      <c r="F48" s="9"/>
      <c r="G48" s="9" t="s">
        <v>52</v>
      </c>
      <c r="H48" s="9"/>
      <c r="I48" s="9"/>
    </row>
    <row r="49" customFormat="false" ht="15.75" hidden="false" customHeight="true" outlineLevel="0" collapsed="false">
      <c r="D49" s="3" t="n">
        <v>5</v>
      </c>
      <c r="G49" s="1" t="s">
        <v>20</v>
      </c>
    </row>
    <row r="50" s="9" customFormat="true" ht="15.75" hidden="false" customHeight="true" outlineLevel="0" collapsed="false">
      <c r="A50" s="1"/>
      <c r="B50" s="2"/>
      <c r="C50" s="2"/>
      <c r="D50" s="3" t="n">
        <v>9</v>
      </c>
      <c r="E50" s="2"/>
      <c r="F50" s="1"/>
      <c r="G50" s="1" t="s">
        <v>20</v>
      </c>
      <c r="H50" s="11"/>
      <c r="I50" s="11"/>
    </row>
    <row r="51" customFormat="false" ht="15.75" hidden="false" customHeight="true" outlineLevel="0" collapsed="false">
      <c r="D51" s="3" t="n">
        <v>11</v>
      </c>
      <c r="G51" s="1" t="s">
        <v>54</v>
      </c>
      <c r="H51" s="11"/>
      <c r="I51" s="11"/>
    </row>
    <row r="52" s="9" customFormat="true" ht="15.75" hidden="false" customHeight="true" outlineLevel="0" collapsed="false">
      <c r="A52" s="1"/>
      <c r="B52" s="2"/>
      <c r="C52" s="2"/>
      <c r="D52" s="3" t="n">
        <v>12</v>
      </c>
      <c r="E52" s="2"/>
      <c r="F52" s="1"/>
      <c r="G52" s="1" t="s">
        <v>50</v>
      </c>
      <c r="H52" s="11"/>
      <c r="I52" s="11"/>
    </row>
    <row r="53" s="9" customFormat="true" ht="15.75" hidden="false" customHeight="true" outlineLevel="0" collapsed="false">
      <c r="B53" s="2"/>
      <c r="C53" s="2"/>
      <c r="D53" s="3" t="n">
        <v>13</v>
      </c>
      <c r="E53" s="2"/>
      <c r="G53" s="9" t="s">
        <v>55</v>
      </c>
    </row>
    <row r="54" customFormat="false" ht="15.75" hidden="false" customHeight="true" outlineLevel="0" collapsed="false">
      <c r="A54" s="9"/>
      <c r="B54" s="8" t="s">
        <v>48</v>
      </c>
      <c r="C54" s="8" t="s">
        <v>43</v>
      </c>
      <c r="D54" s="10" t="n">
        <v>2</v>
      </c>
      <c r="E54" s="8"/>
      <c r="F54" s="9"/>
      <c r="G54" s="9" t="s">
        <v>50</v>
      </c>
      <c r="H54" s="9"/>
      <c r="I54" s="9"/>
    </row>
    <row r="55" customFormat="false" ht="15.75" hidden="false" customHeight="true" outlineLevel="0" collapsed="false">
      <c r="A55" s="9"/>
      <c r="D55" s="3" t="n">
        <v>6</v>
      </c>
      <c r="F55" s="9"/>
      <c r="G55" s="9" t="s">
        <v>50</v>
      </c>
      <c r="H55" s="9"/>
      <c r="I55" s="9"/>
    </row>
    <row r="56" customFormat="false" ht="15.75" hidden="false" customHeight="true" outlineLevel="0" collapsed="false">
      <c r="A56" s="9"/>
      <c r="B56" s="8" t="s">
        <v>49</v>
      </c>
      <c r="C56" s="8" t="s">
        <v>32</v>
      </c>
      <c r="D56" s="10" t="n">
        <v>3</v>
      </c>
      <c r="E56" s="8"/>
      <c r="F56" s="9"/>
      <c r="G56" s="9" t="s">
        <v>50</v>
      </c>
      <c r="H56" s="9"/>
      <c r="I56" s="9" t="s">
        <v>56</v>
      </c>
    </row>
    <row r="57" customFormat="false" ht="15.75" hidden="false" customHeight="true" outlineLevel="0" collapsed="false">
      <c r="A57" s="7" t="n">
        <v>45208</v>
      </c>
      <c r="B57" s="8" t="s">
        <v>57</v>
      </c>
      <c r="C57" s="8" t="s">
        <v>38</v>
      </c>
      <c r="D57" s="10" t="n">
        <v>13</v>
      </c>
      <c r="E57" s="8"/>
      <c r="F57" s="9"/>
      <c r="G57" s="9" t="s">
        <v>45</v>
      </c>
      <c r="H57" s="9"/>
      <c r="I57" s="9"/>
    </row>
    <row r="58" customFormat="false" ht="15.75" hidden="false" customHeight="true" outlineLevel="0" collapsed="false">
      <c r="D58" s="3" t="n">
        <v>15</v>
      </c>
      <c r="G58" s="1" t="s">
        <v>17</v>
      </c>
    </row>
    <row r="59" s="9" customFormat="true" ht="15.75" hidden="false" customHeight="true" outlineLevel="0" collapsed="false">
      <c r="A59" s="1"/>
      <c r="B59" s="2" t="s">
        <v>58</v>
      </c>
      <c r="C59" s="2" t="s">
        <v>22</v>
      </c>
      <c r="D59" s="3" t="n">
        <v>3</v>
      </c>
      <c r="E59" s="2"/>
      <c r="F59" s="1"/>
      <c r="G59" s="1" t="s">
        <v>59</v>
      </c>
      <c r="H59" s="11"/>
      <c r="I59" s="11"/>
    </row>
    <row r="60" customFormat="false" ht="15.75" hidden="false" customHeight="true" outlineLevel="0" collapsed="false">
      <c r="D60" s="3" t="n">
        <v>4</v>
      </c>
      <c r="G60" s="11"/>
      <c r="H60" s="11"/>
      <c r="I60" s="11"/>
    </row>
    <row r="61" customFormat="false" ht="15.75" hidden="false" customHeight="true" outlineLevel="0" collapsed="false">
      <c r="D61" s="3" t="n">
        <v>12</v>
      </c>
      <c r="E61" s="2" t="s">
        <v>14</v>
      </c>
      <c r="G61" s="1" t="s">
        <v>45</v>
      </c>
    </row>
    <row r="62" customFormat="false" ht="15.75" hidden="false" customHeight="true" outlineLevel="0" collapsed="false">
      <c r="A62" s="9"/>
      <c r="D62" s="3" t="n">
        <v>19</v>
      </c>
      <c r="F62" s="9"/>
      <c r="G62" s="9" t="s">
        <v>60</v>
      </c>
      <c r="H62" s="9"/>
      <c r="I62" s="9"/>
    </row>
    <row r="63" customFormat="false" ht="15.75" hidden="false" customHeight="true" outlineLevel="0" collapsed="false">
      <c r="A63" s="9"/>
      <c r="B63" s="8" t="s">
        <v>61</v>
      </c>
      <c r="C63" s="8" t="s">
        <v>29</v>
      </c>
      <c r="D63" s="10" t="n">
        <v>1</v>
      </c>
      <c r="E63" s="8"/>
      <c r="F63" s="9"/>
      <c r="G63" s="9" t="s">
        <v>55</v>
      </c>
      <c r="H63" s="9"/>
      <c r="I63" s="9"/>
    </row>
    <row r="64" s="9" customFormat="true" ht="15.75" hidden="false" customHeight="true" outlineLevel="0" collapsed="false">
      <c r="A64" s="1"/>
      <c r="B64" s="2"/>
      <c r="C64" s="2"/>
      <c r="D64" s="3" t="n">
        <v>2</v>
      </c>
      <c r="E64" s="2"/>
      <c r="F64" s="1"/>
      <c r="G64" s="1" t="s">
        <v>55</v>
      </c>
      <c r="H64" s="11"/>
      <c r="I64" s="11"/>
    </row>
    <row r="65" customFormat="false" ht="15.75" hidden="false" customHeight="true" outlineLevel="0" collapsed="false">
      <c r="D65" s="3" t="n">
        <v>3</v>
      </c>
      <c r="G65" s="1" t="s">
        <v>55</v>
      </c>
      <c r="H65" s="11"/>
      <c r="I65" s="11"/>
    </row>
    <row r="66" customFormat="false" ht="15.75" hidden="false" customHeight="true" outlineLevel="0" collapsed="false">
      <c r="D66" s="3" t="n">
        <v>4</v>
      </c>
      <c r="G66" s="1" t="s">
        <v>55</v>
      </c>
    </row>
    <row r="67" s="9" customFormat="true" ht="15.75" hidden="false" customHeight="true" outlineLevel="0" collapsed="false">
      <c r="B67" s="2"/>
      <c r="C67" s="2"/>
      <c r="D67" s="3" t="n">
        <v>16</v>
      </c>
      <c r="E67" s="2"/>
      <c r="G67" s="9" t="s">
        <v>62</v>
      </c>
    </row>
    <row r="68" s="9" customFormat="true" ht="15.75" hidden="false" customHeight="true" outlineLevel="0" collapsed="false">
      <c r="B68" s="8" t="s">
        <v>48</v>
      </c>
      <c r="C68" s="8" t="s">
        <v>30</v>
      </c>
      <c r="D68" s="10" t="n">
        <v>2</v>
      </c>
      <c r="E68" s="8"/>
      <c r="G68" s="9" t="s">
        <v>54</v>
      </c>
    </row>
    <row r="69" s="9" customFormat="true" ht="15.75" hidden="false" customHeight="true" outlineLevel="0" collapsed="false">
      <c r="A69" s="1"/>
      <c r="B69" s="2"/>
      <c r="C69" s="2"/>
      <c r="D69" s="3" t="n">
        <v>2</v>
      </c>
      <c r="E69" s="2"/>
      <c r="F69" s="1"/>
      <c r="G69" s="1" t="s">
        <v>36</v>
      </c>
      <c r="H69" s="11"/>
      <c r="I69" s="11"/>
    </row>
    <row r="70" customFormat="false" ht="15.75" hidden="false" customHeight="true" outlineLevel="0" collapsed="false">
      <c r="A70" s="9"/>
      <c r="D70" s="3" t="n">
        <v>8</v>
      </c>
      <c r="F70" s="9"/>
      <c r="G70" s="9" t="s">
        <v>63</v>
      </c>
      <c r="H70" s="9"/>
      <c r="I70" s="9"/>
    </row>
    <row r="71" customFormat="false" ht="15.75" hidden="false" customHeight="true" outlineLevel="0" collapsed="false">
      <c r="A71" s="9"/>
      <c r="B71" s="8" t="s">
        <v>57</v>
      </c>
      <c r="C71" s="8" t="s">
        <v>43</v>
      </c>
      <c r="D71" s="10"/>
      <c r="E71" s="8"/>
      <c r="F71" s="9"/>
      <c r="G71" s="9" t="s">
        <v>64</v>
      </c>
      <c r="H71" s="9"/>
      <c r="I71" s="9"/>
    </row>
    <row r="72" customFormat="false" ht="15.75" hidden="false" customHeight="true" outlineLevel="0" collapsed="false">
      <c r="A72" s="7" t="n">
        <v>45209</v>
      </c>
      <c r="B72" s="8" t="s">
        <v>58</v>
      </c>
      <c r="C72" s="8" t="s">
        <v>38</v>
      </c>
      <c r="D72" s="10" t="n">
        <v>15</v>
      </c>
      <c r="E72" s="8" t="s">
        <v>35</v>
      </c>
      <c r="F72" s="9"/>
      <c r="G72" s="9" t="s">
        <v>65</v>
      </c>
      <c r="H72" s="9"/>
      <c r="I72" s="9"/>
    </row>
    <row r="73" customFormat="false" ht="15.75" hidden="false" customHeight="true" outlineLevel="0" collapsed="false">
      <c r="A73" s="9"/>
      <c r="B73" s="8" t="s">
        <v>58</v>
      </c>
      <c r="C73" s="8" t="s">
        <v>13</v>
      </c>
      <c r="D73" s="10" t="n">
        <v>6</v>
      </c>
      <c r="E73" s="8"/>
      <c r="F73" s="9"/>
      <c r="G73" s="9" t="s">
        <v>66</v>
      </c>
      <c r="H73" s="9"/>
      <c r="I73" s="9"/>
    </row>
    <row r="74" customFormat="false" ht="15.75" hidden="false" customHeight="true" outlineLevel="0" collapsed="false">
      <c r="D74" s="3" t="n">
        <v>10</v>
      </c>
      <c r="E74" s="2" t="s">
        <v>35</v>
      </c>
      <c r="G74" s="1" t="s">
        <v>67</v>
      </c>
    </row>
    <row r="75" customFormat="false" ht="15.75" hidden="false" customHeight="true" outlineLevel="0" collapsed="false">
      <c r="B75" s="2" t="s">
        <v>58</v>
      </c>
      <c r="C75" s="2" t="s">
        <v>22</v>
      </c>
      <c r="D75" s="3" t="n">
        <v>15</v>
      </c>
      <c r="G75" s="1" t="s">
        <v>50</v>
      </c>
    </row>
    <row r="76" s="9" customFormat="true" ht="15.75" hidden="false" customHeight="true" outlineLevel="0" collapsed="false">
      <c r="A76" s="1"/>
      <c r="B76" s="2" t="s">
        <v>58</v>
      </c>
      <c r="C76" s="2" t="s">
        <v>29</v>
      </c>
      <c r="D76" s="3"/>
      <c r="E76" s="2" t="s">
        <v>68</v>
      </c>
      <c r="F76" s="1"/>
      <c r="G76" s="1" t="s">
        <v>69</v>
      </c>
      <c r="H76" s="11"/>
      <c r="I76" s="11"/>
    </row>
    <row r="77" customFormat="false" ht="15.75" hidden="false" customHeight="true" outlineLevel="0" collapsed="false">
      <c r="A77" s="12" t="n">
        <v>45210</v>
      </c>
      <c r="B77" s="2" t="s">
        <v>48</v>
      </c>
      <c r="C77" s="2" t="s">
        <v>43</v>
      </c>
      <c r="D77" s="3" t="n">
        <v>3</v>
      </c>
      <c r="E77" s="2" t="s">
        <v>14</v>
      </c>
      <c r="G77" s="1" t="s">
        <v>20</v>
      </c>
      <c r="H77" s="11"/>
      <c r="I77" s="11"/>
    </row>
    <row r="78" s="9" customFormat="true" ht="15.75" hidden="false" customHeight="true" outlineLevel="0" collapsed="false">
      <c r="A78" s="1"/>
      <c r="B78" s="2"/>
      <c r="C78" s="2"/>
      <c r="D78" s="3" t="n">
        <v>19</v>
      </c>
      <c r="E78" s="2"/>
      <c r="F78" s="1"/>
      <c r="G78" s="1" t="s">
        <v>54</v>
      </c>
      <c r="H78" s="11"/>
      <c r="I78" s="11"/>
    </row>
    <row r="79" customFormat="false" ht="15.75" hidden="false" customHeight="true" outlineLevel="0" collapsed="false">
      <c r="A79" s="9"/>
      <c r="D79" s="3" t="n">
        <v>19</v>
      </c>
      <c r="F79" s="9"/>
      <c r="G79" s="9" t="s">
        <v>16</v>
      </c>
      <c r="H79" s="9"/>
      <c r="I79" s="9"/>
    </row>
    <row r="80" customFormat="false" ht="15.75" hidden="false" customHeight="true" outlineLevel="0" collapsed="false">
      <c r="A80" s="7" t="n">
        <v>45211</v>
      </c>
      <c r="B80" s="8" t="s">
        <v>58</v>
      </c>
      <c r="C80" s="8" t="s">
        <v>34</v>
      </c>
      <c r="D80" s="10"/>
      <c r="E80" s="8" t="s">
        <v>70</v>
      </c>
      <c r="F80" s="9"/>
      <c r="G80" s="9" t="s">
        <v>66</v>
      </c>
      <c r="H80" s="9"/>
      <c r="I80" s="9"/>
    </row>
    <row r="81" customFormat="false" ht="15.75" hidden="false" customHeight="true" outlineLevel="0" collapsed="false">
      <c r="A81" s="9"/>
      <c r="B81" s="2" t="s">
        <v>71</v>
      </c>
      <c r="C81" s="2" t="s">
        <v>51</v>
      </c>
      <c r="F81" s="9"/>
      <c r="G81" s="9" t="s">
        <v>72</v>
      </c>
      <c r="H81" s="9"/>
      <c r="I81" s="9"/>
    </row>
    <row r="82" customFormat="false" ht="15.75" hidden="false" customHeight="true" outlineLevel="0" collapsed="false">
      <c r="A82" s="9"/>
      <c r="B82" s="8" t="s">
        <v>73</v>
      </c>
      <c r="C82" s="8" t="s">
        <v>51</v>
      </c>
      <c r="D82" s="10" t="n">
        <v>2</v>
      </c>
      <c r="E82" s="8"/>
      <c r="F82" s="9"/>
      <c r="G82" s="9" t="s">
        <v>74</v>
      </c>
      <c r="H82" s="9"/>
      <c r="I82" s="9"/>
    </row>
    <row r="83" s="9" customFormat="true" ht="15.75" hidden="false" customHeight="true" outlineLevel="0" collapsed="false">
      <c r="A83" s="1"/>
      <c r="B83" s="2"/>
      <c r="C83" s="2"/>
      <c r="D83" s="3" t="n">
        <v>12</v>
      </c>
      <c r="E83" s="2" t="s">
        <v>35</v>
      </c>
      <c r="F83" s="1"/>
      <c r="G83" s="1" t="s">
        <v>75</v>
      </c>
      <c r="H83" s="11"/>
      <c r="I83" s="11"/>
    </row>
    <row r="84" s="9" customFormat="true" ht="15.75" hidden="false" customHeight="true" outlineLevel="0" collapsed="false">
      <c r="A84" s="1"/>
      <c r="B84" s="2"/>
      <c r="C84" s="2"/>
      <c r="D84" s="3" t="n">
        <v>13</v>
      </c>
      <c r="E84" s="2"/>
      <c r="F84" s="1"/>
      <c r="G84" s="1" t="s">
        <v>76</v>
      </c>
      <c r="H84" s="11"/>
      <c r="I84" s="11"/>
    </row>
    <row r="85" s="9" customFormat="true" ht="15.75" hidden="false" customHeight="true" outlineLevel="0" collapsed="false">
      <c r="A85" s="1"/>
      <c r="B85" s="2"/>
      <c r="C85" s="2"/>
      <c r="D85" s="3" t="n">
        <v>14</v>
      </c>
      <c r="E85" s="2"/>
      <c r="F85" s="1"/>
      <c r="G85" s="1" t="s">
        <v>76</v>
      </c>
      <c r="H85" s="11"/>
      <c r="I85" s="11"/>
    </row>
    <row r="86" s="13" customFormat="true" ht="15.75" hidden="false" customHeight="true" outlineLevel="0" collapsed="false">
      <c r="A86" s="9"/>
      <c r="B86" s="2"/>
      <c r="C86" s="2"/>
      <c r="D86" s="3" t="n">
        <v>15</v>
      </c>
      <c r="E86" s="2"/>
      <c r="F86" s="9"/>
      <c r="G86" s="9" t="s">
        <v>50</v>
      </c>
      <c r="H86" s="9"/>
      <c r="I86" s="9"/>
    </row>
    <row r="87" s="9" customFormat="true" ht="15.75" hidden="false" customHeight="true" outlineLevel="0" collapsed="false">
      <c r="A87" s="7"/>
      <c r="B87" s="8" t="s">
        <v>77</v>
      </c>
      <c r="C87" s="8" t="s">
        <v>13</v>
      </c>
      <c r="D87" s="10"/>
      <c r="E87" s="8"/>
      <c r="G87" s="9" t="s">
        <v>78</v>
      </c>
    </row>
    <row r="88" s="9" customFormat="true" ht="15.75" hidden="false" customHeight="true" outlineLevel="0" collapsed="false">
      <c r="A88" s="7" t="n">
        <v>45215</v>
      </c>
      <c r="B88" s="9" t="s">
        <v>79</v>
      </c>
      <c r="C88" s="9" t="s">
        <v>34</v>
      </c>
      <c r="G88" s="9" t="s">
        <v>80</v>
      </c>
    </row>
    <row r="89" s="9" customFormat="true" ht="15.75" hidden="false" customHeight="true" outlineLevel="0" collapsed="false">
      <c r="A89" s="7"/>
      <c r="B89" s="8" t="s">
        <v>77</v>
      </c>
      <c r="C89" s="8" t="s">
        <v>18</v>
      </c>
      <c r="D89" s="10"/>
      <c r="E89" s="8"/>
      <c r="G89" s="9" t="s">
        <v>81</v>
      </c>
    </row>
    <row r="90" customFormat="false" ht="15.75" hidden="false" customHeight="true" outlineLevel="0" collapsed="false">
      <c r="A90" s="13"/>
      <c r="B90" s="14" t="s">
        <v>73</v>
      </c>
      <c r="C90" s="14" t="s">
        <v>22</v>
      </c>
      <c r="D90" s="15" t="n">
        <v>5</v>
      </c>
      <c r="E90" s="14" t="s">
        <v>35</v>
      </c>
      <c r="F90" s="13"/>
      <c r="G90" s="13" t="s">
        <v>82</v>
      </c>
      <c r="H90" s="13"/>
      <c r="I90" s="13"/>
    </row>
    <row r="91" customFormat="false" ht="15.75" hidden="false" customHeight="true" outlineLevel="0" collapsed="false">
      <c r="A91" s="9"/>
      <c r="B91" s="8"/>
      <c r="C91" s="8" t="s">
        <v>29</v>
      </c>
      <c r="D91" s="10" t="n">
        <v>13</v>
      </c>
      <c r="E91" s="8" t="s">
        <v>35</v>
      </c>
      <c r="F91" s="9"/>
      <c r="G91" s="9" t="s">
        <v>54</v>
      </c>
      <c r="H91" s="9"/>
      <c r="I91" s="9"/>
    </row>
    <row r="92" s="9" customFormat="true" ht="15.75" hidden="false" customHeight="true" outlineLevel="0" collapsed="false">
      <c r="B92" s="8" t="s">
        <v>77</v>
      </c>
      <c r="C92" s="8" t="s">
        <v>30</v>
      </c>
      <c r="D92" s="10" t="n">
        <v>2</v>
      </c>
      <c r="E92" s="8"/>
      <c r="G92" s="9" t="s">
        <v>83</v>
      </c>
    </row>
    <row r="93" s="9" customFormat="true" ht="15.75" hidden="false" customHeight="true" outlineLevel="0" collapsed="false">
      <c r="A93" s="7" t="n">
        <v>45216</v>
      </c>
      <c r="B93" s="8" t="s">
        <v>73</v>
      </c>
      <c r="C93" s="8" t="s">
        <v>32</v>
      </c>
      <c r="D93" s="10" t="n">
        <v>4</v>
      </c>
      <c r="E93" s="8" t="s">
        <v>14</v>
      </c>
      <c r="G93" s="9" t="s">
        <v>17</v>
      </c>
    </row>
    <row r="94" customFormat="false" ht="15.75" hidden="false" customHeight="true" outlineLevel="0" collapsed="false">
      <c r="D94" s="3" t="s">
        <v>21</v>
      </c>
      <c r="E94" s="2" t="s">
        <v>70</v>
      </c>
      <c r="G94" s="1" t="s">
        <v>84</v>
      </c>
      <c r="H94" s="11"/>
      <c r="I94" s="11"/>
    </row>
    <row r="95" s="9" customFormat="true" ht="15.75" hidden="false" customHeight="true" outlineLevel="0" collapsed="false">
      <c r="B95" s="2"/>
      <c r="C95" s="2"/>
      <c r="D95" s="3" t="n">
        <v>14</v>
      </c>
      <c r="E95" s="2"/>
      <c r="G95" s="9" t="s">
        <v>62</v>
      </c>
    </row>
    <row r="96" customFormat="false" ht="15.75" hidden="false" customHeight="true" outlineLevel="0" collapsed="false">
      <c r="A96" s="9"/>
      <c r="B96" s="8" t="s">
        <v>79</v>
      </c>
      <c r="C96" s="8" t="s">
        <v>43</v>
      </c>
      <c r="D96" s="10"/>
      <c r="E96" s="8"/>
      <c r="F96" s="9"/>
      <c r="G96" s="9" t="s">
        <v>85</v>
      </c>
      <c r="H96" s="9"/>
      <c r="I96" s="9"/>
    </row>
    <row r="97" customFormat="false" ht="15.75" hidden="false" customHeight="true" outlineLevel="0" collapsed="false">
      <c r="A97" s="9"/>
      <c r="B97" s="8" t="s">
        <v>73</v>
      </c>
      <c r="C97" s="8" t="s">
        <v>13</v>
      </c>
      <c r="D97" s="10" t="s">
        <v>21</v>
      </c>
      <c r="E97" s="8"/>
      <c r="F97" s="9"/>
      <c r="G97" s="9" t="s">
        <v>54</v>
      </c>
      <c r="H97" s="9"/>
      <c r="I97" s="9"/>
    </row>
    <row r="98" customFormat="false" ht="15.75" hidden="false" customHeight="true" outlineLevel="0" collapsed="false">
      <c r="A98" s="9"/>
      <c r="D98" s="3" t="n">
        <v>13</v>
      </c>
      <c r="F98" s="9"/>
      <c r="G98" s="9" t="s">
        <v>86</v>
      </c>
      <c r="H98" s="9"/>
      <c r="I98" s="9"/>
    </row>
    <row r="99" customFormat="false" ht="15.75" hidden="false" customHeight="true" outlineLevel="0" collapsed="false">
      <c r="A99" s="9"/>
      <c r="B99" s="8" t="s">
        <v>73</v>
      </c>
      <c r="C99" s="8" t="s">
        <v>30</v>
      </c>
      <c r="D99" s="10" t="n">
        <v>2</v>
      </c>
      <c r="E99" s="8" t="s">
        <v>35</v>
      </c>
      <c r="F99" s="9"/>
      <c r="G99" s="9" t="s">
        <v>87</v>
      </c>
      <c r="H99" s="9"/>
      <c r="I99" s="9"/>
    </row>
    <row r="100" s="9" customFormat="true" ht="15.75" hidden="false" customHeight="true" outlineLevel="0" collapsed="false">
      <c r="A100" s="1"/>
      <c r="B100" s="2"/>
      <c r="C100" s="2"/>
      <c r="D100" s="3" t="n">
        <v>10</v>
      </c>
      <c r="E100" s="2"/>
      <c r="F100" s="1"/>
      <c r="G100" s="1" t="s">
        <v>17</v>
      </c>
      <c r="H100" s="11"/>
      <c r="I100" s="11"/>
    </row>
    <row r="101" customFormat="false" ht="15.75" hidden="false" customHeight="true" outlineLevel="0" collapsed="false">
      <c r="D101" s="3" t="n">
        <v>11</v>
      </c>
      <c r="G101" s="1" t="s">
        <v>50</v>
      </c>
      <c r="H101" s="11"/>
      <c r="I101" s="11"/>
    </row>
    <row r="102" customFormat="false" ht="15.75" hidden="false" customHeight="true" outlineLevel="0" collapsed="false">
      <c r="B102" s="2" t="s">
        <v>88</v>
      </c>
      <c r="C102" s="2" t="s">
        <v>32</v>
      </c>
      <c r="G102" s="1" t="s">
        <v>89</v>
      </c>
    </row>
    <row r="103" customFormat="false" ht="15.75" hidden="false" customHeight="true" outlineLevel="0" collapsed="false">
      <c r="A103" s="9"/>
      <c r="B103" s="2" t="s">
        <v>21</v>
      </c>
      <c r="C103" s="2" t="s">
        <v>43</v>
      </c>
      <c r="F103" s="9"/>
      <c r="G103" s="9" t="s">
        <v>90</v>
      </c>
      <c r="H103" s="9"/>
      <c r="I103" s="9"/>
    </row>
    <row r="104" customFormat="false" ht="15.75" hidden="false" customHeight="true" outlineLevel="0" collapsed="false">
      <c r="A104" s="7" t="n">
        <v>45217</v>
      </c>
      <c r="B104" s="8" t="s">
        <v>21</v>
      </c>
      <c r="C104" s="8" t="s">
        <v>34</v>
      </c>
      <c r="D104" s="10"/>
      <c r="E104" s="8"/>
      <c r="F104" s="9"/>
      <c r="G104" s="9" t="s">
        <v>91</v>
      </c>
      <c r="H104" s="9"/>
      <c r="I104" s="9"/>
    </row>
    <row r="105" customFormat="false" ht="15.75" hidden="false" customHeight="true" outlineLevel="0" collapsed="false">
      <c r="B105" s="2" t="s">
        <v>21</v>
      </c>
      <c r="C105" s="2" t="s">
        <v>38</v>
      </c>
      <c r="D105" s="3" t="n">
        <v>4</v>
      </c>
      <c r="G105" s="1" t="s">
        <v>92</v>
      </c>
    </row>
    <row r="106" customFormat="false" ht="15.75" hidden="false" customHeight="true" outlineLevel="0" collapsed="false">
      <c r="B106" s="2" t="s">
        <v>21</v>
      </c>
      <c r="C106" s="2" t="s">
        <v>13</v>
      </c>
      <c r="G106" s="1" t="s">
        <v>93</v>
      </c>
    </row>
    <row r="107" s="9" customFormat="true" ht="15.75" hidden="false" customHeight="true" outlineLevel="0" collapsed="false">
      <c r="A107" s="1"/>
      <c r="B107" s="2" t="s">
        <v>77</v>
      </c>
      <c r="C107" s="2" t="s">
        <v>32</v>
      </c>
      <c r="D107" s="3"/>
      <c r="E107" s="2"/>
      <c r="F107" s="1"/>
      <c r="G107" s="1" t="s">
        <v>94</v>
      </c>
      <c r="H107" s="11"/>
      <c r="I107" s="11"/>
    </row>
    <row r="108" customFormat="false" ht="15.75" hidden="false" customHeight="true" outlineLevel="0" collapsed="false">
      <c r="A108" s="12" t="n">
        <v>45218</v>
      </c>
      <c r="B108" s="2" t="s">
        <v>95</v>
      </c>
      <c r="C108" s="2" t="s">
        <v>34</v>
      </c>
      <c r="G108" s="1" t="s">
        <v>96</v>
      </c>
      <c r="H108" s="11"/>
      <c r="I108" s="11"/>
    </row>
    <row r="109" s="9" customFormat="true" ht="15.75" hidden="false" customHeight="true" outlineLevel="0" collapsed="false">
      <c r="A109" s="1"/>
      <c r="B109" s="2" t="s">
        <v>97</v>
      </c>
      <c r="C109" s="2" t="s">
        <v>32</v>
      </c>
      <c r="D109" s="3"/>
      <c r="E109" s="2"/>
      <c r="F109" s="1"/>
      <c r="G109" s="1" t="s">
        <v>98</v>
      </c>
      <c r="H109" s="11"/>
      <c r="I109" s="11"/>
    </row>
    <row r="110" customFormat="false" ht="15.75" hidden="false" customHeight="true" outlineLevel="0" collapsed="false">
      <c r="A110" s="12" t="n">
        <v>45219</v>
      </c>
      <c r="B110" s="2" t="s">
        <v>95</v>
      </c>
      <c r="C110" s="2" t="s">
        <v>38</v>
      </c>
      <c r="F110" s="9"/>
      <c r="G110" s="9" t="s">
        <v>99</v>
      </c>
      <c r="H110" s="9"/>
      <c r="I110" s="9"/>
    </row>
    <row r="111" s="9" customFormat="true" ht="15.75" hidden="false" customHeight="true" outlineLevel="0" collapsed="false">
      <c r="B111" s="8" t="s">
        <v>100</v>
      </c>
      <c r="C111" s="8" t="s">
        <v>38</v>
      </c>
      <c r="D111" s="10" t="n">
        <v>8</v>
      </c>
      <c r="E111" s="8"/>
      <c r="G111" s="9" t="s">
        <v>101</v>
      </c>
    </row>
    <row r="112" customFormat="false" ht="15.75" hidden="false" customHeight="true" outlineLevel="0" collapsed="false">
      <c r="A112" s="9"/>
      <c r="B112" s="2" t="s">
        <v>95</v>
      </c>
      <c r="C112" s="2" t="s">
        <v>51</v>
      </c>
      <c r="F112" s="9"/>
      <c r="G112" s="9" t="s">
        <v>102</v>
      </c>
      <c r="H112" s="9"/>
      <c r="I112" s="9"/>
    </row>
    <row r="113" s="9" customFormat="true" ht="15.75" hidden="false" customHeight="true" outlineLevel="0" collapsed="false">
      <c r="B113" s="8" t="s">
        <v>103</v>
      </c>
      <c r="C113" s="8" t="s">
        <v>29</v>
      </c>
      <c r="D113" s="10" t="n">
        <v>14</v>
      </c>
      <c r="E113" s="8" t="s">
        <v>14</v>
      </c>
      <c r="G113" s="9" t="s">
        <v>17</v>
      </c>
    </row>
    <row r="114" customFormat="false" ht="15.75" hidden="false" customHeight="true" outlineLevel="0" collapsed="false">
      <c r="A114" s="9"/>
      <c r="D114" s="3" t="n">
        <v>12</v>
      </c>
      <c r="F114" s="9"/>
      <c r="G114" s="9" t="s">
        <v>104</v>
      </c>
      <c r="H114" s="9"/>
      <c r="I114" s="9"/>
    </row>
    <row r="115" s="9" customFormat="true" ht="15.75" hidden="false" customHeight="true" outlineLevel="0" collapsed="false">
      <c r="A115" s="7" t="n">
        <v>45220</v>
      </c>
      <c r="B115" s="8" t="s">
        <v>103</v>
      </c>
      <c r="C115" s="8" t="s">
        <v>38</v>
      </c>
      <c r="D115" s="10" t="n">
        <v>13</v>
      </c>
      <c r="E115" s="8"/>
      <c r="G115" s="9" t="s">
        <v>50</v>
      </c>
    </row>
    <row r="116" customFormat="false" ht="15.75" hidden="false" customHeight="true" outlineLevel="0" collapsed="false">
      <c r="A116" s="9"/>
      <c r="D116" s="3" t="n">
        <v>13</v>
      </c>
      <c r="F116" s="9"/>
      <c r="G116" s="9" t="s">
        <v>105</v>
      </c>
      <c r="H116" s="9"/>
      <c r="I116" s="9"/>
    </row>
    <row r="117" customFormat="false" ht="15.75" hidden="false" customHeight="true" outlineLevel="0" collapsed="false">
      <c r="A117" s="9"/>
      <c r="B117" s="8" t="s">
        <v>103</v>
      </c>
      <c r="C117" s="8" t="s">
        <v>51</v>
      </c>
      <c r="D117" s="10" t="n">
        <v>8</v>
      </c>
      <c r="E117" s="8"/>
      <c r="F117" s="9"/>
      <c r="G117" s="9" t="s">
        <v>20</v>
      </c>
      <c r="H117" s="9"/>
      <c r="I117" s="9"/>
    </row>
    <row r="118" customFormat="false" ht="15.75" hidden="false" customHeight="true" outlineLevel="0" collapsed="false">
      <c r="A118" s="9"/>
      <c r="B118" s="2" t="s">
        <v>95</v>
      </c>
      <c r="C118" s="2" t="s">
        <v>18</v>
      </c>
      <c r="F118" s="9"/>
      <c r="G118" s="9" t="s">
        <v>106</v>
      </c>
      <c r="H118" s="9"/>
      <c r="I118" s="9"/>
    </row>
    <row r="119" s="9" customFormat="true" ht="15.75" hidden="false" customHeight="true" outlineLevel="0" collapsed="false">
      <c r="B119" s="8" t="s">
        <v>100</v>
      </c>
      <c r="C119" s="8" t="s">
        <v>18</v>
      </c>
      <c r="D119" s="10" t="n">
        <v>3</v>
      </c>
      <c r="E119" s="8"/>
      <c r="G119" s="9" t="s">
        <v>20</v>
      </c>
    </row>
    <row r="120" customFormat="false" ht="15.75" hidden="false" customHeight="true" outlineLevel="0" collapsed="false">
      <c r="D120" s="3" t="n">
        <v>13</v>
      </c>
      <c r="G120" s="1" t="s">
        <v>20</v>
      </c>
      <c r="H120" s="11"/>
      <c r="I120" s="11"/>
    </row>
    <row r="121" s="9" customFormat="true" ht="15.75" hidden="false" customHeight="true" outlineLevel="0" collapsed="false">
      <c r="A121" s="1"/>
      <c r="B121" s="2" t="s">
        <v>21</v>
      </c>
      <c r="C121" s="2" t="s">
        <v>30</v>
      </c>
      <c r="D121" s="3" t="n">
        <v>12</v>
      </c>
      <c r="E121" s="2"/>
      <c r="F121" s="1"/>
      <c r="G121" s="1" t="s">
        <v>52</v>
      </c>
      <c r="H121" s="11"/>
      <c r="I121" s="11"/>
    </row>
    <row r="122" s="9" customFormat="true" ht="15.75" hidden="false" customHeight="true" outlineLevel="0" collapsed="false">
      <c r="B122" s="2"/>
      <c r="C122" s="2"/>
      <c r="D122" s="3" t="n">
        <v>14</v>
      </c>
      <c r="E122" s="2"/>
      <c r="G122" s="9" t="s">
        <v>107</v>
      </c>
    </row>
    <row r="123" s="9" customFormat="true" ht="15.75" hidden="false" customHeight="true" outlineLevel="0" collapsed="false">
      <c r="B123" s="8" t="s">
        <v>21</v>
      </c>
      <c r="C123" s="8" t="s">
        <v>32</v>
      </c>
      <c r="D123" s="10" t="s">
        <v>21</v>
      </c>
      <c r="E123" s="8"/>
      <c r="G123" s="9" t="s">
        <v>50</v>
      </c>
    </row>
    <row r="124" customFormat="false" ht="15.75" hidden="false" customHeight="true" outlineLevel="0" collapsed="false">
      <c r="A124" s="9"/>
      <c r="D124" s="3" t="n">
        <v>12</v>
      </c>
      <c r="F124" s="9"/>
      <c r="G124" s="9" t="s">
        <v>54</v>
      </c>
      <c r="H124" s="9"/>
      <c r="I124" s="9"/>
    </row>
    <row r="125" s="9" customFormat="true" ht="15.75" hidden="false" customHeight="true" outlineLevel="0" collapsed="false">
      <c r="A125" s="7" t="n">
        <v>45221</v>
      </c>
      <c r="B125" s="8" t="s">
        <v>108</v>
      </c>
      <c r="C125" s="8" t="s">
        <v>18</v>
      </c>
      <c r="D125" s="10" t="s">
        <v>21</v>
      </c>
      <c r="E125" s="8" t="s">
        <v>35</v>
      </c>
      <c r="G125" s="9" t="s">
        <v>109</v>
      </c>
    </row>
    <row r="126" customFormat="false" ht="15.75" hidden="false" customHeight="true" outlineLevel="0" collapsed="false">
      <c r="A126" s="9"/>
      <c r="B126" s="8" t="s">
        <v>108</v>
      </c>
      <c r="C126" s="8" t="s">
        <v>30</v>
      </c>
      <c r="D126" s="10" t="n">
        <v>5</v>
      </c>
      <c r="E126" s="8"/>
      <c r="F126" s="9"/>
      <c r="G126" s="9" t="s">
        <v>109</v>
      </c>
      <c r="H126" s="9"/>
      <c r="I126" s="9"/>
    </row>
    <row r="127" s="9" customFormat="true" ht="15.75" hidden="false" customHeight="true" outlineLevel="0" collapsed="false">
      <c r="B127" s="8" t="s">
        <v>103</v>
      </c>
      <c r="C127" s="8" t="s">
        <v>32</v>
      </c>
      <c r="D127" s="10" t="n">
        <v>13</v>
      </c>
      <c r="E127" s="8"/>
      <c r="G127" s="9" t="s">
        <v>52</v>
      </c>
    </row>
    <row r="128" customFormat="false" ht="15.75" hidden="false" customHeight="true" outlineLevel="0" collapsed="false">
      <c r="A128" s="9"/>
      <c r="B128" s="2" t="s">
        <v>110</v>
      </c>
      <c r="C128" s="2" t="s">
        <v>43</v>
      </c>
      <c r="D128" s="3" t="n">
        <v>20</v>
      </c>
      <c r="F128" s="9"/>
      <c r="G128" s="9" t="s">
        <v>111</v>
      </c>
      <c r="H128" s="9"/>
      <c r="I128" s="9"/>
    </row>
    <row r="129" customFormat="false" ht="15.75" hidden="false" customHeight="true" outlineLevel="0" collapsed="false">
      <c r="A129" s="9"/>
      <c r="B129" s="8" t="s">
        <v>103</v>
      </c>
      <c r="C129" s="8" t="s">
        <v>43</v>
      </c>
      <c r="D129" s="10" t="n">
        <v>11</v>
      </c>
      <c r="E129" s="8"/>
      <c r="F129" s="9"/>
      <c r="G129" s="9" t="s">
        <v>52</v>
      </c>
      <c r="H129" s="9"/>
      <c r="I129" s="9"/>
    </row>
    <row r="130" customFormat="false" ht="15.75" hidden="false" customHeight="true" outlineLevel="0" collapsed="false">
      <c r="A130" s="9"/>
      <c r="E130" s="2" t="s">
        <v>112</v>
      </c>
      <c r="F130" s="9"/>
      <c r="G130" s="9" t="s">
        <v>52</v>
      </c>
      <c r="H130" s="9"/>
      <c r="I130" s="9"/>
    </row>
    <row r="131" customFormat="false" ht="15.75" hidden="false" customHeight="true" outlineLevel="0" collapsed="false">
      <c r="A131" s="9" t="s">
        <v>21</v>
      </c>
      <c r="B131" s="8" t="s">
        <v>73</v>
      </c>
      <c r="C131" s="8" t="s">
        <v>34</v>
      </c>
      <c r="D131" s="10" t="n">
        <v>2</v>
      </c>
      <c r="E131" s="8"/>
      <c r="F131" s="9"/>
      <c r="G131" s="9" t="s">
        <v>50</v>
      </c>
      <c r="H131" s="9"/>
      <c r="I131" s="9"/>
    </row>
    <row r="132" customFormat="false" ht="15.75" hidden="false" customHeight="true" outlineLevel="0" collapsed="false">
      <c r="E132" s="2" t="s">
        <v>70</v>
      </c>
      <c r="G132" s="1" t="s">
        <v>113</v>
      </c>
    </row>
    <row r="133" customFormat="false" ht="15.75" hidden="false" customHeight="true" outlineLevel="0" collapsed="false">
      <c r="E133" s="2" t="s">
        <v>112</v>
      </c>
      <c r="G133" s="1" t="s">
        <v>114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10.5078125" defaultRowHeight="15.75" zeroHeight="false" outlineLevelRow="0" outlineLevelCol="0"/>
  <cols>
    <col collapsed="false" customWidth="true" hidden="false" outlineLevel="0" max="5" min="1" style="2" width="10.82"/>
    <col collapsed="false" customWidth="true" hidden="false" outlineLevel="0" max="6" min="6" style="1" width="66.15"/>
  </cols>
  <sheetData>
    <row r="1" s="4" customFormat="true" ht="15.75" hidden="false" customHeight="true" outlineLevel="0" collapsed="false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16" t="s">
        <v>11</v>
      </c>
    </row>
    <row r="2" s="9" customFormat="true" ht="15.75" hidden="false" customHeight="true" outlineLevel="0" collapsed="false">
      <c r="A2" s="17" t="n">
        <v>45245</v>
      </c>
      <c r="B2" s="8" t="s">
        <v>12</v>
      </c>
      <c r="C2" s="8" t="s">
        <v>115</v>
      </c>
      <c r="D2" s="8" t="n">
        <v>1</v>
      </c>
      <c r="E2" s="8" t="s">
        <v>14</v>
      </c>
      <c r="F2" s="18" t="s">
        <v>17</v>
      </c>
    </row>
    <row r="3" customFormat="false" ht="15.75" hidden="false" customHeight="true" outlineLevel="0" collapsed="false">
      <c r="D3" s="2" t="n">
        <v>12</v>
      </c>
      <c r="E3" s="2" t="s">
        <v>35</v>
      </c>
      <c r="F3" s="19" t="s">
        <v>20</v>
      </c>
    </row>
    <row r="4" s="9" customFormat="true" ht="15.75" hidden="false" customHeight="true" outlineLevel="0" collapsed="false">
      <c r="A4" s="8"/>
      <c r="B4" s="8"/>
      <c r="C4" s="8" t="s">
        <v>116</v>
      </c>
      <c r="D4" s="8" t="n">
        <v>11</v>
      </c>
      <c r="E4" s="8" t="s">
        <v>35</v>
      </c>
      <c r="F4" s="18" t="s">
        <v>17</v>
      </c>
    </row>
    <row r="5" s="9" customFormat="true" ht="15.75" hidden="false" customHeight="true" outlineLevel="0" collapsed="false">
      <c r="A5" s="8"/>
      <c r="B5" s="8"/>
      <c r="C5" s="8" t="s">
        <v>117</v>
      </c>
      <c r="D5" s="8"/>
      <c r="E5" s="8"/>
      <c r="F5" s="18" t="s">
        <v>118</v>
      </c>
    </row>
    <row r="6" s="9" customFormat="true" ht="15.75" hidden="false" customHeight="true" outlineLevel="0" collapsed="false">
      <c r="A6" s="8"/>
      <c r="B6" s="8"/>
      <c r="C6" s="8" t="s">
        <v>119</v>
      </c>
      <c r="D6" s="8" t="n">
        <v>11</v>
      </c>
      <c r="E6" s="8"/>
      <c r="F6" s="18" t="s">
        <v>118</v>
      </c>
    </row>
    <row r="7" s="9" customFormat="true" ht="15.75" hidden="false" customHeight="true" outlineLevel="0" collapsed="false">
      <c r="A7" s="17" t="n">
        <v>45246</v>
      </c>
      <c r="B7" s="8" t="s">
        <v>33</v>
      </c>
      <c r="C7" s="8" t="s">
        <v>115</v>
      </c>
      <c r="D7" s="8" t="s">
        <v>120</v>
      </c>
      <c r="E7" s="8"/>
      <c r="F7" s="18" t="s">
        <v>121</v>
      </c>
    </row>
    <row r="8" s="9" customFormat="true" ht="15.75" hidden="false" customHeight="true" outlineLevel="0" collapsed="false">
      <c r="A8" s="8"/>
      <c r="B8" s="8" t="s">
        <v>33</v>
      </c>
      <c r="C8" s="8" t="s">
        <v>116</v>
      </c>
      <c r="D8" s="8" t="n">
        <v>18</v>
      </c>
      <c r="E8" s="8"/>
      <c r="F8" s="18" t="s">
        <v>20</v>
      </c>
    </row>
    <row r="9" s="9" customFormat="true" ht="15.75" hidden="false" customHeight="true" outlineLevel="0" collapsed="false">
      <c r="A9" s="8"/>
      <c r="B9" s="8" t="s">
        <v>33</v>
      </c>
      <c r="C9" s="8" t="s">
        <v>117</v>
      </c>
      <c r="D9" s="8" t="n">
        <v>10</v>
      </c>
      <c r="E9" s="8"/>
      <c r="F9" s="18" t="s">
        <v>17</v>
      </c>
    </row>
    <row r="10" s="9" customFormat="true" ht="15.75" hidden="false" customHeight="true" outlineLevel="0" collapsed="false">
      <c r="A10" s="8"/>
      <c r="B10" s="8" t="s">
        <v>33</v>
      </c>
      <c r="C10" s="8" t="s">
        <v>122</v>
      </c>
      <c r="D10" s="8" t="n">
        <v>2</v>
      </c>
      <c r="E10" s="8"/>
      <c r="F10" s="18" t="s">
        <v>123</v>
      </c>
    </row>
    <row r="11" s="9" customFormat="true" ht="15.75" hidden="false" customHeight="true" outlineLevel="0" collapsed="false">
      <c r="A11" s="8"/>
      <c r="B11" s="8" t="s">
        <v>33</v>
      </c>
      <c r="C11" s="8" t="s">
        <v>119</v>
      </c>
      <c r="D11" s="8" t="n">
        <v>1</v>
      </c>
      <c r="E11" s="8"/>
      <c r="F11" s="18" t="s">
        <v>54</v>
      </c>
    </row>
    <row r="12" customFormat="false" ht="15.75" hidden="false" customHeight="true" outlineLevel="0" collapsed="false">
      <c r="D12" s="2" t="n">
        <v>5</v>
      </c>
      <c r="F12" s="19" t="s">
        <v>124</v>
      </c>
    </row>
    <row r="13" customFormat="false" ht="15.75" hidden="false" customHeight="true" outlineLevel="0" collapsed="false">
      <c r="D13" s="2" t="n">
        <v>9</v>
      </c>
      <c r="F13" s="19" t="s">
        <v>20</v>
      </c>
    </row>
    <row r="14" s="9" customFormat="true" ht="15.75" hidden="false" customHeight="true" outlineLevel="0" collapsed="false">
      <c r="A14" s="8"/>
      <c r="B14" s="8" t="s">
        <v>33</v>
      </c>
      <c r="C14" s="8" t="s">
        <v>125</v>
      </c>
      <c r="D14" s="8" t="n">
        <v>13</v>
      </c>
      <c r="E14" s="8" t="s">
        <v>35</v>
      </c>
      <c r="F14" s="18" t="s">
        <v>126</v>
      </c>
    </row>
    <row r="15" s="9" customFormat="true" ht="15.75" hidden="false" customHeight="true" outlineLevel="0" collapsed="false">
      <c r="A15" s="8"/>
      <c r="B15" s="8"/>
      <c r="C15" s="8" t="s">
        <v>127</v>
      </c>
      <c r="D15" s="8" t="n">
        <v>3</v>
      </c>
      <c r="E15" s="8"/>
      <c r="F15" s="18" t="s">
        <v>128</v>
      </c>
    </row>
    <row r="16" customFormat="false" ht="15.75" hidden="false" customHeight="true" outlineLevel="0" collapsed="false">
      <c r="D16" s="2" t="n">
        <v>4</v>
      </c>
    </row>
    <row r="17" customFormat="false" ht="15.75" hidden="false" customHeight="true" outlineLevel="0" collapsed="false">
      <c r="D17" s="2" t="n">
        <v>5</v>
      </c>
    </row>
    <row r="18" s="9" customFormat="true" ht="15.75" hidden="false" customHeight="true" outlineLevel="0" collapsed="false">
      <c r="A18" s="17" t="n">
        <v>45247</v>
      </c>
      <c r="B18" s="8" t="s">
        <v>48</v>
      </c>
      <c r="C18" s="8" t="s">
        <v>117</v>
      </c>
      <c r="D18" s="8"/>
      <c r="E18" s="8"/>
      <c r="F18" s="18" t="s">
        <v>129</v>
      </c>
    </row>
    <row r="19" s="9" customFormat="true" ht="15.75" hidden="false" customHeight="true" outlineLevel="0" collapsed="false">
      <c r="A19" s="8"/>
      <c r="B19" s="8" t="s">
        <v>48</v>
      </c>
      <c r="C19" s="8" t="s">
        <v>130</v>
      </c>
      <c r="D19" s="8" t="n">
        <v>12</v>
      </c>
      <c r="E19" s="8"/>
      <c r="F19" s="18" t="s">
        <v>131</v>
      </c>
    </row>
    <row r="20" s="9" customFormat="true" ht="15.75" hidden="false" customHeight="true" outlineLevel="0" collapsed="false">
      <c r="A20" s="8"/>
      <c r="B20" s="8" t="s">
        <v>48</v>
      </c>
      <c r="C20" s="8" t="s">
        <v>122</v>
      </c>
      <c r="D20" s="8" t="s">
        <v>21</v>
      </c>
      <c r="E20" s="8"/>
      <c r="F20" s="18" t="s">
        <v>132</v>
      </c>
    </row>
    <row r="21" s="9" customFormat="true" ht="15.75" hidden="false" customHeight="true" outlineLevel="0" collapsed="false">
      <c r="A21" s="8"/>
      <c r="B21" s="8" t="s">
        <v>21</v>
      </c>
      <c r="C21" s="8" t="s">
        <v>119</v>
      </c>
      <c r="D21" s="8" t="n">
        <v>3</v>
      </c>
      <c r="E21" s="8" t="s">
        <v>14</v>
      </c>
      <c r="F21" s="18" t="s">
        <v>133</v>
      </c>
    </row>
    <row r="22" customFormat="false" ht="15.75" hidden="false" customHeight="true" outlineLevel="0" collapsed="false">
      <c r="D22" s="2" t="n">
        <v>10</v>
      </c>
      <c r="E22" s="2" t="s">
        <v>35</v>
      </c>
      <c r="F22" s="19" t="s">
        <v>17</v>
      </c>
    </row>
    <row r="23" customFormat="false" ht="15.75" hidden="false" customHeight="true" outlineLevel="0" collapsed="false">
      <c r="D23" s="2" t="n">
        <v>14</v>
      </c>
      <c r="F23" s="19" t="s">
        <v>50</v>
      </c>
    </row>
    <row r="24" s="9" customFormat="true" ht="15.75" hidden="false" customHeight="true" outlineLevel="0" collapsed="false">
      <c r="A24" s="8"/>
      <c r="B24" s="8" t="s">
        <v>49</v>
      </c>
      <c r="C24" s="8" t="s">
        <v>125</v>
      </c>
      <c r="D24" s="8" t="n">
        <v>1</v>
      </c>
      <c r="E24" s="8"/>
      <c r="F24" s="18" t="s">
        <v>20</v>
      </c>
    </row>
    <row r="25" s="9" customFormat="true" ht="15.75" hidden="false" customHeight="true" outlineLevel="0" collapsed="false">
      <c r="A25" s="8"/>
      <c r="B25" s="8" t="s">
        <v>21</v>
      </c>
      <c r="C25" s="8" t="s">
        <v>127</v>
      </c>
      <c r="D25" s="8" t="n">
        <v>2</v>
      </c>
      <c r="E25" s="8"/>
      <c r="F25" s="18" t="s">
        <v>134</v>
      </c>
    </row>
    <row r="26" customFormat="false" ht="15.75" hidden="false" customHeight="true" outlineLevel="0" collapsed="false">
      <c r="D26" s="2" t="n">
        <v>9</v>
      </c>
      <c r="F26" s="19" t="s">
        <v>135</v>
      </c>
    </row>
    <row r="27" s="9" customFormat="true" ht="15.75" hidden="false" customHeight="true" outlineLevel="0" collapsed="false">
      <c r="A27" s="17" t="n">
        <v>45248</v>
      </c>
      <c r="B27" s="8" t="s">
        <v>21</v>
      </c>
      <c r="C27" s="8" t="s">
        <v>122</v>
      </c>
      <c r="D27" s="8" t="n">
        <v>5</v>
      </c>
      <c r="E27" s="8"/>
      <c r="F27" s="18" t="s">
        <v>136</v>
      </c>
    </row>
    <row r="28" s="9" customFormat="true" ht="15.75" hidden="false" customHeight="true" outlineLevel="0" collapsed="false">
      <c r="A28" s="8"/>
      <c r="B28" s="8"/>
      <c r="C28" s="8" t="s">
        <v>137</v>
      </c>
      <c r="D28" s="8" t="n">
        <v>7</v>
      </c>
      <c r="E28" s="8"/>
      <c r="F28" s="18" t="s">
        <v>138</v>
      </c>
    </row>
    <row r="29" s="9" customFormat="true" ht="15.75" hidden="false" customHeight="true" outlineLevel="0" collapsed="false">
      <c r="A29" s="8"/>
      <c r="B29" s="8" t="s">
        <v>58</v>
      </c>
      <c r="C29" s="8" t="s">
        <v>115</v>
      </c>
      <c r="D29" s="8"/>
      <c r="E29" s="8" t="s">
        <v>68</v>
      </c>
      <c r="F29" s="18" t="s">
        <v>139</v>
      </c>
    </row>
    <row r="30" customFormat="false" ht="15.75" hidden="false" customHeight="true" outlineLevel="0" collapsed="false">
      <c r="A30" s="8"/>
      <c r="B30" s="8" t="s">
        <v>57</v>
      </c>
      <c r="C30" s="8" t="s">
        <v>116</v>
      </c>
      <c r="D30" s="8" t="n">
        <v>1</v>
      </c>
      <c r="E30" s="8"/>
      <c r="F30" s="18" t="s">
        <v>140</v>
      </c>
    </row>
    <row r="31" customFormat="false" ht="15.75" hidden="false" customHeight="true" outlineLevel="0" collapsed="false">
      <c r="D31" s="2" t="n">
        <v>17</v>
      </c>
      <c r="F31" s="19" t="s">
        <v>17</v>
      </c>
    </row>
    <row r="32" customFormat="false" ht="15.75" hidden="false" customHeight="true" outlineLevel="0" collapsed="false">
      <c r="D32" s="2" t="n">
        <v>19</v>
      </c>
      <c r="E32" s="2" t="s">
        <v>14</v>
      </c>
      <c r="F32" s="19" t="s">
        <v>141</v>
      </c>
    </row>
    <row r="33" customFormat="false" ht="15.75" hidden="false" customHeight="true" outlineLevel="0" collapsed="false">
      <c r="D33" s="2" t="n">
        <v>20</v>
      </c>
      <c r="E33" s="2" t="s">
        <v>35</v>
      </c>
      <c r="F33" s="19" t="s">
        <v>142</v>
      </c>
    </row>
    <row r="34" s="9" customFormat="true" ht="15.75" hidden="false" customHeight="true" outlineLevel="0" collapsed="false">
      <c r="A34" s="2"/>
      <c r="B34" s="2"/>
      <c r="C34" s="2"/>
      <c r="D34" s="2"/>
      <c r="E34" s="2"/>
      <c r="F34" s="19" t="s">
        <v>143</v>
      </c>
    </row>
    <row r="35" s="9" customFormat="true" ht="15.75" hidden="false" customHeight="true" outlineLevel="0" collapsed="false">
      <c r="A35" s="8"/>
      <c r="B35" s="8" t="s">
        <v>57</v>
      </c>
      <c r="C35" s="8" t="s">
        <v>122</v>
      </c>
      <c r="D35" s="8" t="s">
        <v>21</v>
      </c>
      <c r="E35" s="8"/>
      <c r="F35" s="18" t="s">
        <v>50</v>
      </c>
    </row>
    <row r="36" customFormat="false" ht="15.75" hidden="false" customHeight="true" outlineLevel="0" collapsed="false">
      <c r="A36" s="8"/>
      <c r="B36" s="8"/>
      <c r="C36" s="8" t="s">
        <v>119</v>
      </c>
      <c r="D36" s="8" t="n">
        <v>12</v>
      </c>
      <c r="E36" s="8" t="s">
        <v>35</v>
      </c>
      <c r="F36" s="18" t="s">
        <v>39</v>
      </c>
    </row>
    <row r="37" s="9" customFormat="true" ht="15.75" hidden="false" customHeight="true" outlineLevel="0" collapsed="false">
      <c r="A37" s="2"/>
      <c r="B37" s="2"/>
      <c r="C37" s="2"/>
      <c r="D37" s="2" t="n">
        <v>13</v>
      </c>
      <c r="E37" s="2"/>
      <c r="F37" s="19" t="s">
        <v>54</v>
      </c>
    </row>
    <row r="38" customFormat="false" ht="15.75" hidden="false" customHeight="true" outlineLevel="0" collapsed="false">
      <c r="A38" s="8"/>
      <c r="B38" s="8" t="s">
        <v>21</v>
      </c>
      <c r="C38" s="8" t="s">
        <v>125</v>
      </c>
      <c r="D38" s="8" t="n">
        <v>12</v>
      </c>
      <c r="E38" s="8"/>
      <c r="F38" s="18" t="s">
        <v>144</v>
      </c>
    </row>
    <row r="39" customFormat="false" ht="15.75" hidden="false" customHeight="true" outlineLevel="0" collapsed="false">
      <c r="D39" s="2" t="n">
        <v>17</v>
      </c>
      <c r="E39" s="2" t="s">
        <v>14</v>
      </c>
      <c r="F39" s="19" t="s">
        <v>145</v>
      </c>
    </row>
    <row r="40" s="9" customFormat="true" ht="15.75" hidden="false" customHeight="true" outlineLevel="0" collapsed="false">
      <c r="A40" s="2"/>
      <c r="B40" s="2"/>
      <c r="C40" s="2"/>
      <c r="D40" s="20" t="s">
        <v>146</v>
      </c>
      <c r="E40" s="2"/>
      <c r="F40" s="19" t="s">
        <v>147</v>
      </c>
    </row>
    <row r="41" s="9" customFormat="true" ht="15.75" hidden="false" customHeight="true" outlineLevel="0" collapsed="false">
      <c r="A41" s="17" t="n">
        <v>45249</v>
      </c>
      <c r="B41" s="8" t="s">
        <v>148</v>
      </c>
      <c r="C41" s="8" t="s">
        <v>116</v>
      </c>
      <c r="D41" s="8" t="n">
        <v>14</v>
      </c>
      <c r="E41" s="8"/>
      <c r="F41" s="18" t="s">
        <v>20</v>
      </c>
    </row>
    <row r="42" customFormat="false" ht="15.75" hidden="false" customHeight="true" outlineLevel="0" collapsed="false">
      <c r="A42" s="8"/>
      <c r="B42" s="8" t="s">
        <v>148</v>
      </c>
      <c r="C42" s="8" t="s">
        <v>130</v>
      </c>
      <c r="D42" s="8" t="n">
        <v>10</v>
      </c>
      <c r="E42" s="8"/>
      <c r="F42" s="18" t="s">
        <v>20</v>
      </c>
    </row>
    <row r="43" s="9" customFormat="true" ht="15.75" hidden="false" customHeight="true" outlineLevel="0" collapsed="false">
      <c r="A43" s="8"/>
      <c r="B43" s="8" t="s">
        <v>148</v>
      </c>
      <c r="C43" s="8" t="s">
        <v>119</v>
      </c>
      <c r="D43" s="8" t="n">
        <v>14</v>
      </c>
      <c r="E43" s="8" t="s">
        <v>14</v>
      </c>
      <c r="F43" s="18" t="s">
        <v>20</v>
      </c>
    </row>
    <row r="44" customFormat="false" ht="15.75" hidden="false" customHeight="true" outlineLevel="0" collapsed="false">
      <c r="A44" s="8"/>
      <c r="B44" s="8" t="s">
        <v>58</v>
      </c>
      <c r="C44" s="8" t="s">
        <v>122</v>
      </c>
      <c r="D44" s="8" t="n">
        <v>1</v>
      </c>
      <c r="E44" s="8"/>
      <c r="F44" s="18" t="s">
        <v>20</v>
      </c>
    </row>
    <row r="45" customFormat="false" ht="15.75" hidden="false" customHeight="true" outlineLevel="0" collapsed="false">
      <c r="E45" s="2" t="s">
        <v>68</v>
      </c>
      <c r="F45" s="19" t="s">
        <v>149</v>
      </c>
    </row>
    <row r="46" s="9" customFormat="true" ht="15.75" hidden="false" customHeight="true" outlineLevel="0" collapsed="false">
      <c r="A46" s="8"/>
      <c r="B46" s="8" t="s">
        <v>57</v>
      </c>
      <c r="C46" s="8" t="s">
        <v>125</v>
      </c>
      <c r="D46" s="8" t="n">
        <v>16</v>
      </c>
      <c r="E46" s="8"/>
      <c r="F46" s="18" t="s">
        <v>54</v>
      </c>
    </row>
    <row r="47" s="9" customFormat="true" ht="15.75" hidden="false" customHeight="true" outlineLevel="0" collapsed="false">
      <c r="A47" s="2"/>
      <c r="B47" s="2"/>
      <c r="C47" s="2"/>
      <c r="D47" s="2"/>
      <c r="E47" s="2"/>
      <c r="F47" s="19" t="s">
        <v>150</v>
      </c>
    </row>
    <row r="48" s="9" customFormat="true" ht="15.75" hidden="false" customHeight="true" outlineLevel="0" collapsed="false">
      <c r="A48" s="2"/>
      <c r="B48" s="2"/>
      <c r="C48" s="2"/>
      <c r="D48" s="2" t="n">
        <v>20</v>
      </c>
      <c r="E48" s="2"/>
      <c r="F48" s="19" t="s">
        <v>151</v>
      </c>
    </row>
    <row r="49" customFormat="false" ht="15.75" hidden="false" customHeight="true" outlineLevel="0" collapsed="false">
      <c r="B49" s="2" t="s">
        <v>57</v>
      </c>
      <c r="D49" s="2" t="n">
        <v>9</v>
      </c>
      <c r="F49" s="19" t="s">
        <v>152</v>
      </c>
    </row>
    <row r="50" customFormat="false" ht="15.75" hidden="false" customHeight="true" outlineLevel="0" collapsed="false">
      <c r="A50" s="17" t="n">
        <v>45250</v>
      </c>
      <c r="B50" s="8" t="s">
        <v>58</v>
      </c>
      <c r="C50" s="8" t="s">
        <v>153</v>
      </c>
      <c r="D50" s="8" t="n">
        <v>1</v>
      </c>
      <c r="E50" s="8"/>
      <c r="F50" s="18" t="s">
        <v>154</v>
      </c>
    </row>
    <row r="51" customFormat="false" ht="27.75" hidden="false" customHeight="true" outlineLevel="0" collapsed="false">
      <c r="A51" s="8"/>
      <c r="B51" s="8" t="s">
        <v>58</v>
      </c>
      <c r="C51" s="8" t="s">
        <v>116</v>
      </c>
      <c r="D51" s="8" t="n">
        <v>1</v>
      </c>
      <c r="E51" s="8"/>
      <c r="F51" s="18" t="s">
        <v>155</v>
      </c>
    </row>
    <row r="52" s="9" customFormat="true" ht="15.75" hidden="false" customHeight="true" outlineLevel="0" collapsed="false">
      <c r="A52" s="8"/>
      <c r="B52" s="8" t="s">
        <v>148</v>
      </c>
      <c r="C52" s="8" t="s">
        <v>117</v>
      </c>
      <c r="D52" s="8" t="n">
        <v>5</v>
      </c>
      <c r="E52" s="8"/>
      <c r="F52" s="18" t="s">
        <v>156</v>
      </c>
    </row>
    <row r="53" s="9" customFormat="true" ht="15.75" hidden="false" customHeight="true" outlineLevel="0" collapsed="false">
      <c r="A53" s="2"/>
      <c r="B53" s="2"/>
      <c r="C53" s="2"/>
      <c r="D53" s="2" t="n">
        <v>6</v>
      </c>
      <c r="E53" s="2" t="s">
        <v>35</v>
      </c>
      <c r="F53" s="19" t="s">
        <v>21</v>
      </c>
    </row>
    <row r="54" s="9" customFormat="true" ht="15.75" hidden="false" customHeight="true" outlineLevel="0" collapsed="false">
      <c r="A54" s="2"/>
      <c r="B54" s="2"/>
      <c r="C54" s="2"/>
      <c r="D54" s="2" t="n">
        <v>7</v>
      </c>
      <c r="E54" s="2"/>
      <c r="F54" s="19" t="s">
        <v>21</v>
      </c>
    </row>
    <row r="55" s="9" customFormat="true" ht="15.75" hidden="false" customHeight="true" outlineLevel="0" collapsed="false">
      <c r="A55" s="2"/>
      <c r="B55" s="2"/>
      <c r="C55" s="2"/>
      <c r="D55" s="2" t="n">
        <v>8</v>
      </c>
      <c r="E55" s="2"/>
      <c r="F55" s="19" t="s">
        <v>157</v>
      </c>
    </row>
    <row r="56" s="9" customFormat="true" ht="15.75" hidden="false" customHeight="true" outlineLevel="0" collapsed="false">
      <c r="A56" s="8"/>
      <c r="B56" s="8" t="s">
        <v>58</v>
      </c>
      <c r="C56" s="8" t="s">
        <v>158</v>
      </c>
      <c r="D56" s="8"/>
      <c r="E56" s="8"/>
      <c r="F56" s="18" t="s">
        <v>159</v>
      </c>
    </row>
    <row r="57" customFormat="false" ht="15.75" hidden="false" customHeight="true" outlineLevel="0" collapsed="false">
      <c r="A57" s="8"/>
      <c r="B57" s="8" t="s">
        <v>58</v>
      </c>
      <c r="C57" s="8" t="s">
        <v>125</v>
      </c>
      <c r="D57" s="8"/>
      <c r="E57" s="8"/>
      <c r="F57" s="18" t="s">
        <v>160</v>
      </c>
    </row>
    <row r="58" s="9" customFormat="true" ht="15.75" hidden="false" customHeight="true" outlineLevel="0" collapsed="false">
      <c r="A58" s="17" t="n">
        <v>45251</v>
      </c>
      <c r="B58" s="8" t="s">
        <v>79</v>
      </c>
      <c r="C58" s="8" t="s">
        <v>153</v>
      </c>
      <c r="D58" s="8"/>
      <c r="E58" s="8"/>
      <c r="F58" s="18" t="s">
        <v>161</v>
      </c>
    </row>
    <row r="59" customFormat="false" ht="15.75" hidden="false" customHeight="true" outlineLevel="0" collapsed="false">
      <c r="A59" s="8"/>
      <c r="B59" s="8" t="s">
        <v>58</v>
      </c>
      <c r="C59" s="8" t="s">
        <v>115</v>
      </c>
      <c r="D59" s="8" t="n">
        <v>12</v>
      </c>
      <c r="E59" s="8"/>
      <c r="F59" s="18" t="s">
        <v>20</v>
      </c>
    </row>
    <row r="60" customFormat="false" ht="15.75" hidden="false" customHeight="true" outlineLevel="0" collapsed="false">
      <c r="A60" s="8"/>
      <c r="B60" s="8" t="s">
        <v>73</v>
      </c>
      <c r="C60" s="8" t="s">
        <v>130</v>
      </c>
      <c r="D60" s="8"/>
      <c r="E60" s="8"/>
      <c r="F60" s="18" t="s">
        <v>162</v>
      </c>
    </row>
    <row r="61" customFormat="false" ht="15.75" hidden="false" customHeight="true" outlineLevel="0" collapsed="false">
      <c r="D61" s="2" t="n">
        <v>12</v>
      </c>
      <c r="E61" s="2" t="s">
        <v>35</v>
      </c>
      <c r="F61" s="19" t="s">
        <v>163</v>
      </c>
    </row>
    <row r="62" s="9" customFormat="true" ht="15.75" hidden="false" customHeight="true" outlineLevel="0" collapsed="false">
      <c r="A62" s="8"/>
      <c r="B62" s="8" t="s">
        <v>21</v>
      </c>
      <c r="C62" s="8" t="s">
        <v>122</v>
      </c>
      <c r="D62" s="8" t="n">
        <v>8</v>
      </c>
      <c r="E62" s="8" t="s">
        <v>14</v>
      </c>
      <c r="F62" s="18" t="s">
        <v>164</v>
      </c>
    </row>
    <row r="63" customFormat="false" ht="15.75" hidden="false" customHeight="true" outlineLevel="0" collapsed="false">
      <c r="D63" s="2" t="n">
        <v>10</v>
      </c>
      <c r="F63" s="19" t="s">
        <v>150</v>
      </c>
    </row>
    <row r="64" s="9" customFormat="true" ht="15.75" hidden="false" customHeight="true" outlineLevel="0" collapsed="false">
      <c r="A64" s="2"/>
      <c r="B64" s="2" t="s">
        <v>79</v>
      </c>
      <c r="C64" s="2" t="s">
        <v>119</v>
      </c>
      <c r="D64" s="2"/>
      <c r="E64" s="2"/>
      <c r="F64" s="19" t="s">
        <v>165</v>
      </c>
    </row>
    <row r="65" s="9" customFormat="true" ht="15.75" hidden="false" customHeight="true" outlineLevel="0" collapsed="false">
      <c r="A65" s="21" t="n">
        <v>45252</v>
      </c>
      <c r="B65" s="2" t="s">
        <v>79</v>
      </c>
      <c r="C65" s="2" t="s">
        <v>137</v>
      </c>
      <c r="D65" s="2"/>
      <c r="E65" s="2"/>
      <c r="F65" s="19" t="s">
        <v>166</v>
      </c>
    </row>
    <row r="66" customFormat="false" ht="15.75" hidden="false" customHeight="true" outlineLevel="0" collapsed="false">
      <c r="A66" s="8"/>
      <c r="B66" s="8" t="s">
        <v>73</v>
      </c>
      <c r="C66" s="8" t="s">
        <v>137</v>
      </c>
      <c r="D66" s="8" t="n">
        <v>5</v>
      </c>
      <c r="E66" s="8" t="s">
        <v>35</v>
      </c>
      <c r="F66" s="18" t="s">
        <v>167</v>
      </c>
    </row>
    <row r="67" customFormat="false" ht="15.75" hidden="false" customHeight="true" outlineLevel="0" collapsed="false">
      <c r="A67" s="21"/>
      <c r="F67" s="19" t="s">
        <v>168</v>
      </c>
    </row>
    <row r="68" s="9" customFormat="true" ht="15.75" hidden="false" customHeight="true" outlineLevel="0" collapsed="false">
      <c r="A68" s="17" t="n">
        <v>45253</v>
      </c>
      <c r="B68" s="8" t="s">
        <v>73</v>
      </c>
      <c r="C68" s="8" t="s">
        <v>117</v>
      </c>
      <c r="D68" s="8" t="n">
        <v>11</v>
      </c>
      <c r="E68" s="8"/>
      <c r="F68" s="18" t="s">
        <v>54</v>
      </c>
    </row>
    <row r="69" s="9" customFormat="true" ht="15.75" hidden="false" customHeight="true" outlineLevel="0" collapsed="false">
      <c r="A69" s="8"/>
      <c r="B69" s="8" t="s">
        <v>73</v>
      </c>
      <c r="C69" s="8" t="s">
        <v>127</v>
      </c>
      <c r="D69" s="8" t="n">
        <v>6</v>
      </c>
      <c r="E69" s="8" t="s">
        <v>35</v>
      </c>
      <c r="F69" s="18" t="s">
        <v>39</v>
      </c>
    </row>
    <row r="70" customFormat="false" ht="15.75" hidden="false" customHeight="true" outlineLevel="0" collapsed="false">
      <c r="F70" s="19" t="s">
        <v>169</v>
      </c>
    </row>
    <row r="71" customFormat="false" ht="15.75" hidden="false" customHeight="true" outlineLevel="0" collapsed="false">
      <c r="A71" s="21" t="n">
        <v>45254</v>
      </c>
      <c r="B71" s="2" t="s">
        <v>71</v>
      </c>
      <c r="C71" s="2" t="s">
        <v>115</v>
      </c>
      <c r="F71" s="19" t="s">
        <v>170</v>
      </c>
    </row>
    <row r="72" customFormat="false" ht="15.75" hidden="false" customHeight="true" outlineLevel="0" collapsed="false">
      <c r="A72" s="8"/>
      <c r="B72" s="8" t="s">
        <v>100</v>
      </c>
      <c r="C72" s="8" t="s">
        <v>158</v>
      </c>
      <c r="D72" s="8"/>
      <c r="E72" s="8"/>
      <c r="F72" s="18" t="s">
        <v>171</v>
      </c>
    </row>
    <row r="73" customFormat="false" ht="15.75" hidden="false" customHeight="true" outlineLevel="0" collapsed="false">
      <c r="A73" s="17" t="n">
        <v>45255</v>
      </c>
      <c r="B73" s="8" t="s">
        <v>100</v>
      </c>
      <c r="C73" s="8" t="s">
        <v>130</v>
      </c>
      <c r="D73" s="8" t="n">
        <v>1</v>
      </c>
      <c r="E73" s="8"/>
      <c r="F73" s="18" t="s">
        <v>172</v>
      </c>
    </row>
    <row r="74" s="9" customFormat="true" ht="15.75" hidden="false" customHeight="true" outlineLevel="0" collapsed="false">
      <c r="A74" s="2"/>
      <c r="B74" s="2"/>
      <c r="C74" s="2"/>
      <c r="D74" s="2" t="n">
        <v>7</v>
      </c>
      <c r="E74" s="2"/>
      <c r="F74" s="19" t="s">
        <v>173</v>
      </c>
    </row>
    <row r="75" customFormat="false" ht="15.75" hidden="false" customHeight="true" outlineLevel="0" collapsed="false">
      <c r="D75" s="2" t="n">
        <v>8</v>
      </c>
      <c r="F75" s="19" t="s">
        <v>151</v>
      </c>
    </row>
    <row r="76" customFormat="false" ht="15.75" hidden="false" customHeight="true" outlineLevel="0" collapsed="false">
      <c r="D76" s="2" t="n">
        <v>14</v>
      </c>
      <c r="E76" s="2" t="s">
        <v>112</v>
      </c>
      <c r="F76" s="19" t="s">
        <v>174</v>
      </c>
    </row>
    <row r="77" s="9" customFormat="true" ht="15.75" hidden="false" customHeight="true" outlineLevel="0" collapsed="false">
      <c r="A77" s="2"/>
      <c r="B77" s="2"/>
      <c r="C77" s="2"/>
      <c r="D77" s="2" t="n">
        <v>15</v>
      </c>
      <c r="E77" s="2"/>
      <c r="F77" s="19" t="s">
        <v>54</v>
      </c>
    </row>
    <row r="78" s="9" customFormat="true" ht="15.75" hidden="false" customHeight="true" outlineLevel="0" collapsed="false">
      <c r="A78" s="8"/>
      <c r="B78" s="8" t="s">
        <v>100</v>
      </c>
      <c r="C78" s="8" t="s">
        <v>122</v>
      </c>
      <c r="D78" s="8"/>
      <c r="E78" s="8" t="s">
        <v>68</v>
      </c>
      <c r="F78" s="18" t="s">
        <v>175</v>
      </c>
    </row>
    <row r="79" s="9" customFormat="true" ht="15.75" hidden="false" customHeight="true" outlineLevel="0" collapsed="false">
      <c r="A79" s="2"/>
      <c r="B79" s="2"/>
      <c r="C79" s="2"/>
      <c r="D79" s="2" t="n">
        <v>11</v>
      </c>
      <c r="E79" s="2"/>
      <c r="F79" s="19" t="s">
        <v>176</v>
      </c>
    </row>
    <row r="80" customFormat="false" ht="15.75" hidden="false" customHeight="true" outlineLevel="0" collapsed="false">
      <c r="B80" s="2" t="s">
        <v>177</v>
      </c>
      <c r="C80" s="2" t="s">
        <v>158</v>
      </c>
      <c r="D80" s="2" t="n">
        <v>22</v>
      </c>
      <c r="F80" s="19" t="s">
        <v>178</v>
      </c>
    </row>
    <row r="81" s="9" customFormat="true" ht="15.75" hidden="false" customHeight="true" outlineLevel="0" collapsed="false">
      <c r="A81" s="17" t="n">
        <v>45256</v>
      </c>
      <c r="B81" s="8" t="s">
        <v>100</v>
      </c>
      <c r="C81" s="8" t="s">
        <v>137</v>
      </c>
      <c r="D81" s="8"/>
      <c r="E81" s="8"/>
      <c r="F81" s="18" t="s">
        <v>179</v>
      </c>
    </row>
    <row r="82" s="9" customFormat="true" ht="15.75" hidden="false" customHeight="true" outlineLevel="0" collapsed="false">
      <c r="A82" s="8"/>
      <c r="B82" s="8" t="s">
        <v>180</v>
      </c>
      <c r="C82" s="8" t="s">
        <v>116</v>
      </c>
      <c r="D82" s="8"/>
      <c r="E82" s="8"/>
      <c r="F82" s="18" t="s">
        <v>181</v>
      </c>
    </row>
    <row r="83" customFormat="false" ht="15.75" hidden="false" customHeight="true" outlineLevel="0" collapsed="false">
      <c r="A83" s="8"/>
      <c r="B83" s="8" t="s">
        <v>103</v>
      </c>
      <c r="C83" s="8" t="s">
        <v>130</v>
      </c>
      <c r="D83" s="8" t="n">
        <v>2</v>
      </c>
      <c r="E83" s="8"/>
      <c r="F83" s="18" t="s">
        <v>20</v>
      </c>
    </row>
    <row r="84" customFormat="false" ht="15.75" hidden="false" customHeight="true" outlineLevel="0" collapsed="false">
      <c r="D84" s="2" t="n">
        <v>4</v>
      </c>
      <c r="F84" s="19" t="s">
        <v>182</v>
      </c>
    </row>
    <row r="85" s="9" customFormat="true" ht="15.75" hidden="false" customHeight="true" outlineLevel="0" collapsed="false">
      <c r="A85" s="8"/>
      <c r="B85" s="8" t="s">
        <v>103</v>
      </c>
      <c r="C85" s="8" t="s">
        <v>122</v>
      </c>
      <c r="D85" s="8"/>
      <c r="E85" s="8"/>
      <c r="F85" s="18" t="s">
        <v>183</v>
      </c>
    </row>
    <row r="86" customFormat="false" ht="15.75" hidden="false" customHeight="true" outlineLevel="0" collapsed="false">
      <c r="A86" s="17" t="n">
        <v>45257</v>
      </c>
      <c r="B86" s="8" t="s">
        <v>103</v>
      </c>
      <c r="C86" s="8" t="s">
        <v>153</v>
      </c>
      <c r="D86" s="8" t="n">
        <v>2</v>
      </c>
      <c r="E86" s="8" t="s">
        <v>35</v>
      </c>
      <c r="F86" s="18" t="s">
        <v>184</v>
      </c>
    </row>
    <row r="87" customFormat="false" ht="15.75" hidden="false" customHeight="true" outlineLevel="0" collapsed="false">
      <c r="D87" s="2" t="n">
        <v>3</v>
      </c>
      <c r="E87" s="2" t="s">
        <v>68</v>
      </c>
      <c r="F87" s="19" t="s">
        <v>185</v>
      </c>
    </row>
    <row r="88" s="9" customFormat="true" ht="15.75" hidden="false" customHeight="true" outlineLevel="0" collapsed="false">
      <c r="A88" s="2"/>
      <c r="B88" s="2" t="s">
        <v>110</v>
      </c>
      <c r="C88" s="2" t="s">
        <v>137</v>
      </c>
      <c r="D88" s="2"/>
      <c r="E88" s="2"/>
      <c r="F88" s="19" t="s">
        <v>186</v>
      </c>
    </row>
    <row r="89" customFormat="false" ht="15.75" hidden="false" customHeight="true" outlineLevel="0" collapsed="false">
      <c r="A89" s="8"/>
      <c r="B89" s="8" t="s">
        <v>103</v>
      </c>
      <c r="C89" s="8" t="s">
        <v>137</v>
      </c>
      <c r="D89" s="8" t="n">
        <v>3</v>
      </c>
      <c r="E89" s="8" t="s">
        <v>68</v>
      </c>
      <c r="F89" s="18" t="s">
        <v>184</v>
      </c>
    </row>
    <row r="90" customFormat="false" ht="15.75" hidden="false" customHeight="true" outlineLevel="0" collapsed="false">
      <c r="D90" s="2" t="n">
        <v>7</v>
      </c>
      <c r="E90" s="2" t="s">
        <v>70</v>
      </c>
      <c r="F90" s="19" t="s">
        <v>17</v>
      </c>
    </row>
    <row r="91" customFormat="false" ht="15.75" hidden="false" customHeight="true" outlineLevel="0" collapsed="false">
      <c r="D91" s="2" t="n">
        <v>13</v>
      </c>
      <c r="E91" s="2" t="s">
        <v>112</v>
      </c>
      <c r="F91" s="19" t="s">
        <v>187</v>
      </c>
    </row>
    <row r="92" customFormat="false" ht="15.75" hidden="false" customHeight="true" outlineLevel="0" collapsed="false">
      <c r="A92" s="8"/>
      <c r="B92" s="8" t="s">
        <v>21</v>
      </c>
      <c r="C92" s="8" t="s">
        <v>116</v>
      </c>
      <c r="D92" s="8" t="n">
        <v>2</v>
      </c>
      <c r="E92" s="8" t="s">
        <v>35</v>
      </c>
      <c r="F92" s="18" t="s">
        <v>39</v>
      </c>
    </row>
    <row r="93" s="9" customFormat="true" ht="15.75" hidden="false" customHeight="true" outlineLevel="0" collapsed="false">
      <c r="A93" s="2"/>
      <c r="B93" s="2"/>
      <c r="C93" s="2"/>
      <c r="D93" s="2" t="n">
        <v>3</v>
      </c>
      <c r="E93" s="2" t="s">
        <v>68</v>
      </c>
      <c r="F93" s="19" t="s">
        <v>17</v>
      </c>
    </row>
    <row r="94" customFormat="false" ht="15.75" hidden="false" customHeight="true" outlineLevel="0" collapsed="false">
      <c r="E94" s="2" t="s">
        <v>70</v>
      </c>
      <c r="F94" s="19" t="s">
        <v>188</v>
      </c>
    </row>
    <row r="95" customFormat="false" ht="15.75" hidden="false" customHeight="true" outlineLevel="0" collapsed="false">
      <c r="E95" s="2" t="s">
        <v>112</v>
      </c>
      <c r="F95" s="19" t="s">
        <v>188</v>
      </c>
    </row>
    <row r="96" customFormat="false" ht="15.75" hidden="false" customHeight="true" outlineLevel="0" collapsed="false">
      <c r="D96" s="2" t="n">
        <v>5</v>
      </c>
      <c r="F96" s="19" t="s">
        <v>189</v>
      </c>
    </row>
    <row r="97" s="9" customFormat="true" ht="15.75" hidden="false" customHeight="true" outlineLevel="0" collapsed="false">
      <c r="A97" s="8"/>
      <c r="B97" s="8" t="s">
        <v>100</v>
      </c>
      <c r="C97" s="8" t="s">
        <v>117</v>
      </c>
      <c r="D97" s="8" t="n">
        <v>1</v>
      </c>
      <c r="E97" s="8" t="s">
        <v>14</v>
      </c>
      <c r="F97" s="18" t="s">
        <v>20</v>
      </c>
    </row>
    <row r="98" customFormat="false" ht="15.75" hidden="false" customHeight="true" outlineLevel="0" collapsed="false">
      <c r="D98" s="2" t="n">
        <v>3</v>
      </c>
      <c r="E98" s="2" t="s">
        <v>14</v>
      </c>
      <c r="F98" s="19" t="s">
        <v>20</v>
      </c>
    </row>
    <row r="99" customFormat="false" ht="15.75" hidden="false" customHeight="true" outlineLevel="0" collapsed="false">
      <c r="D99" s="2" t="n">
        <v>5</v>
      </c>
      <c r="E99" s="2" t="s">
        <v>68</v>
      </c>
      <c r="F99" s="19" t="s">
        <v>20</v>
      </c>
    </row>
    <row r="100" s="9" customFormat="true" ht="15.75" hidden="false" customHeight="true" outlineLevel="0" collapsed="false">
      <c r="A100" s="2"/>
      <c r="B100" s="2"/>
      <c r="C100" s="2"/>
      <c r="D100" s="2"/>
      <c r="E100" s="2" t="s">
        <v>70</v>
      </c>
      <c r="F100" s="19" t="s">
        <v>20</v>
      </c>
    </row>
    <row r="101" customFormat="false" ht="15.75" hidden="false" customHeight="true" outlineLevel="0" collapsed="false">
      <c r="A101" s="8"/>
      <c r="B101" s="8" t="s">
        <v>100</v>
      </c>
      <c r="C101" s="8" t="s">
        <v>119</v>
      </c>
      <c r="D101" s="8" t="n">
        <v>1</v>
      </c>
      <c r="E101" s="8"/>
      <c r="F101" s="18" t="s">
        <v>20</v>
      </c>
    </row>
    <row r="102" customFormat="false" ht="15.75" hidden="false" customHeight="true" outlineLevel="0" collapsed="false">
      <c r="F102" s="19" t="s">
        <v>172</v>
      </c>
    </row>
    <row r="103" customFormat="false" ht="15.75" hidden="false" customHeight="true" outlineLevel="0" collapsed="false">
      <c r="D103" s="2" t="n">
        <v>12</v>
      </c>
      <c r="F103" s="19" t="s">
        <v>170</v>
      </c>
    </row>
    <row r="104" customFormat="false" ht="15.75" hidden="false" customHeight="true" outlineLevel="0" collapsed="false">
      <c r="A104" s="17" t="n">
        <v>45258</v>
      </c>
      <c r="B104" s="8" t="s">
        <v>103</v>
      </c>
      <c r="C104" s="8" t="s">
        <v>119</v>
      </c>
      <c r="D104" s="8" t="n">
        <v>9</v>
      </c>
      <c r="E104" s="8" t="s">
        <v>14</v>
      </c>
      <c r="F104" s="18" t="s">
        <v>172</v>
      </c>
    </row>
    <row r="105" customFormat="false" ht="15.75" hidden="false" customHeight="true" outlineLevel="0" collapsed="false">
      <c r="D105" s="2" t="n">
        <v>10</v>
      </c>
      <c r="E105" s="2" t="s">
        <v>35</v>
      </c>
      <c r="F105" s="19" t="s">
        <v>172</v>
      </c>
    </row>
    <row r="106" customFormat="false" ht="15.75" hidden="false" customHeight="true" outlineLevel="0" collapsed="false">
      <c r="F106" s="19" t="s">
        <v>190</v>
      </c>
    </row>
    <row r="107" customFormat="false" ht="15.75" hidden="false" customHeight="true" outlineLevel="0" collapsed="false">
      <c r="D107" s="2" t="n">
        <v>12</v>
      </c>
      <c r="F107" s="19" t="s">
        <v>191</v>
      </c>
    </row>
    <row r="108" customFormat="false" ht="15.75" hidden="false" customHeight="true" outlineLevel="0" collapsed="false">
      <c r="D108" s="2" t="n">
        <v>13</v>
      </c>
      <c r="F108" s="19" t="s">
        <v>192</v>
      </c>
    </row>
    <row r="109" customFormat="false" ht="15.75" hidden="false" customHeight="true" outlineLevel="0" collapsed="false">
      <c r="D109" s="2" t="n">
        <v>14</v>
      </c>
      <c r="E109" s="2" t="s">
        <v>112</v>
      </c>
      <c r="F109" s="19" t="s">
        <v>193</v>
      </c>
    </row>
    <row r="110" customFormat="false" ht="15.75" hidden="false" customHeight="true" outlineLevel="0" collapsed="false">
      <c r="D110" s="2" t="n">
        <v>15</v>
      </c>
      <c r="E110" s="2" t="s">
        <v>14</v>
      </c>
      <c r="F110" s="19" t="s">
        <v>193</v>
      </c>
    </row>
    <row r="111" customFormat="false" ht="15.75" hidden="false" customHeight="true" outlineLevel="0" collapsed="false">
      <c r="D111" s="2" t="n">
        <v>16</v>
      </c>
      <c r="F111" s="19" t="s">
        <v>194</v>
      </c>
    </row>
    <row r="112" customFormat="false" ht="15.75" hidden="false" customHeight="true" outlineLevel="0" collapsed="false">
      <c r="F112" s="19" t="s">
        <v>195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1" activeCellId="0" sqref="C31"/>
    </sheetView>
  </sheetViews>
  <sheetFormatPr defaultColWidth="10.5078125" defaultRowHeight="15.75" zeroHeight="false" outlineLevelRow="0" outlineLevelCol="0"/>
  <sheetData>
    <row r="1" customFormat="false" ht="15.75" hidden="false" customHeight="true" outlineLevel="0" collapsed="false">
      <c r="A1" s="12" t="n">
        <v>45211</v>
      </c>
      <c r="B1" s="1" t="s">
        <v>79</v>
      </c>
      <c r="C1" s="1" t="s">
        <v>34</v>
      </c>
      <c r="D1" s="1" t="s">
        <v>8</v>
      </c>
      <c r="E1" s="1" t="s">
        <v>196</v>
      </c>
      <c r="F1" s="1" t="s">
        <v>197</v>
      </c>
      <c r="G1" s="1" t="s">
        <v>10</v>
      </c>
    </row>
    <row r="2" customFormat="false" ht="15.75" hidden="false" customHeight="true" outlineLevel="0" collapsed="false">
      <c r="D2" s="1" t="n">
        <v>1</v>
      </c>
      <c r="E2" s="22" t="n">
        <v>0</v>
      </c>
      <c r="F2" s="22" t="n">
        <v>0.0152777777777778</v>
      </c>
      <c r="G2" s="22" t="n">
        <f aca="false">F2-E2</f>
        <v>0.0152777777777778</v>
      </c>
    </row>
    <row r="3" customFormat="false" ht="15.75" hidden="false" customHeight="true" outlineLevel="0" collapsed="false">
      <c r="D3" s="1" t="n">
        <v>2</v>
      </c>
      <c r="E3" s="22" t="n">
        <v>0.0284722222222222</v>
      </c>
      <c r="F3" s="22" t="n">
        <v>0.0458333333333333</v>
      </c>
      <c r="G3" s="22" t="n">
        <f aca="false">F3-E3</f>
        <v>0.0173611111111111</v>
      </c>
    </row>
    <row r="4" customFormat="false" ht="15.75" hidden="false" customHeight="true" outlineLevel="0" collapsed="false">
      <c r="D4" s="1" t="n">
        <v>3</v>
      </c>
      <c r="E4" s="22" t="n">
        <v>0.0583333333333333</v>
      </c>
      <c r="F4" s="22" t="n">
        <v>0.0701388888888889</v>
      </c>
      <c r="G4" s="22" t="n">
        <f aca="false">F4-E4</f>
        <v>0.0118055555555556</v>
      </c>
    </row>
    <row r="5" customFormat="false" ht="15.75" hidden="false" customHeight="true" outlineLevel="0" collapsed="false">
      <c r="D5" s="1" t="n">
        <v>4</v>
      </c>
      <c r="E5" s="22" t="n">
        <v>0.0819444444444444</v>
      </c>
      <c r="F5" s="22" t="n">
        <v>0.0895833333333333</v>
      </c>
      <c r="G5" s="22" t="n">
        <f aca="false">F5-E5</f>
        <v>0.00763888888888889</v>
      </c>
    </row>
    <row r="6" customFormat="false" ht="15.75" hidden="false" customHeight="true" outlineLevel="0" collapsed="false">
      <c r="D6" s="1" t="n">
        <v>5</v>
      </c>
      <c r="E6" s="22" t="n">
        <v>0.102083333333333</v>
      </c>
      <c r="F6" s="22" t="n">
        <v>0.105555555555556</v>
      </c>
      <c r="G6" s="22" t="n">
        <f aca="false">F6-E6</f>
        <v>0.00347222222222222</v>
      </c>
    </row>
    <row r="7" customFormat="false" ht="15.75" hidden="false" customHeight="true" outlineLevel="0" collapsed="false">
      <c r="D7" s="1" t="n">
        <v>6</v>
      </c>
      <c r="E7" s="22" t="n">
        <v>0.11875</v>
      </c>
      <c r="F7" s="22" t="n">
        <v>0.124305555555556</v>
      </c>
      <c r="G7" s="22" t="n">
        <f aca="false">F7-E7</f>
        <v>0.00555555555555556</v>
      </c>
    </row>
    <row r="8" customFormat="false" ht="15.75" hidden="false" customHeight="true" outlineLevel="0" collapsed="false">
      <c r="D8" s="1" t="n">
        <v>7</v>
      </c>
      <c r="E8" s="22" t="n">
        <v>0.1375</v>
      </c>
      <c r="F8" s="22" t="n">
        <v>0.139583333333333</v>
      </c>
      <c r="G8" s="22" t="n">
        <f aca="false">F8-E8</f>
        <v>0.00208333333333333</v>
      </c>
    </row>
    <row r="9" customFormat="false" ht="15.75" hidden="false" customHeight="true" outlineLevel="0" collapsed="false">
      <c r="D9" s="1" t="n">
        <v>8</v>
      </c>
      <c r="E9" s="22" t="n">
        <v>0.152083333333333</v>
      </c>
      <c r="F9" s="22" t="n">
        <v>0.154166666666667</v>
      </c>
      <c r="G9" s="22" t="n">
        <f aca="false">F9-E9</f>
        <v>0.00208333333333333</v>
      </c>
    </row>
    <row r="10" customFormat="false" ht="15.75" hidden="false" customHeight="true" outlineLevel="0" collapsed="false">
      <c r="D10" s="1" t="n">
        <v>9</v>
      </c>
      <c r="E10" s="22" t="n">
        <v>0.165277777777778</v>
      </c>
      <c r="F10" s="22" t="n">
        <v>0.166666666666667</v>
      </c>
      <c r="G10" s="22" t="n">
        <f aca="false">F10-E10</f>
        <v>0.00138888888888889</v>
      </c>
    </row>
    <row r="11" customFormat="false" ht="15.75" hidden="false" customHeight="true" outlineLevel="0" collapsed="false">
      <c r="D11" s="1" t="n">
        <v>10</v>
      </c>
      <c r="E11" s="22" t="n">
        <v>0.179166666666667</v>
      </c>
      <c r="F11" s="22" t="n">
        <v>0.190277777777778</v>
      </c>
      <c r="G11" s="22" t="n">
        <f aca="false">F11-E11</f>
        <v>0.0111111111111111</v>
      </c>
    </row>
    <row r="12" customFormat="false" ht="15.75" hidden="false" customHeight="true" outlineLevel="0" collapsed="false">
      <c r="G12" s="22" t="n">
        <f aca="false">AVERAGE(G2:G11)</f>
        <v>0.00777777777777778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640625" defaultRowHeight="15.75" zeroHeight="false" outlineLevelRow="0" outlineLevelCol="0"/>
  <cols>
    <col collapsed="false" customWidth="true" hidden="false" outlineLevel="0" max="1" min="1" style="23" width="14.4"/>
    <col collapsed="false" customWidth="true" hidden="false" outlineLevel="0" max="4" min="2" style="23" width="11.6"/>
    <col collapsed="false" customWidth="true" hidden="false" outlineLevel="0" max="5" min="5" style="23" width="9.74"/>
    <col collapsed="false" customWidth="true" hidden="false" outlineLevel="0" max="6" min="6" style="24" width="12.53"/>
    <col collapsed="false" customWidth="true" hidden="false" outlineLevel="0" max="7" min="7" style="25" width="14.01"/>
    <col collapsed="false" customWidth="true" hidden="false" outlineLevel="0" max="8" min="8" style="24" width="15.31"/>
    <col collapsed="false" customWidth="true" hidden="false" outlineLevel="0" max="9" min="9" style="23" width="72.84"/>
    <col collapsed="false" customWidth="true" hidden="false" outlineLevel="0" max="10" min="10" style="23" width="73.73"/>
    <col collapsed="false" customWidth="true" hidden="false" outlineLevel="0" max="11" min="11" style="23" width="22.83"/>
    <col collapsed="false" customWidth="true" hidden="false" outlineLevel="0" max="12" min="12" style="23" width="31.33"/>
    <col collapsed="false" customWidth="true" hidden="false" outlineLevel="0" max="14" min="13" style="23" width="13.66"/>
    <col collapsed="false" customWidth="true" hidden="false" outlineLevel="0" max="15" min="15" style="23" width="8"/>
    <col collapsed="false" customWidth="false" hidden="false" outlineLevel="0" max="16384" min="17" style="23" width="11.66"/>
  </cols>
  <sheetData>
    <row r="1" customFormat="false" ht="15.75" hidden="false" customHeight="true" outlineLevel="0" collapsed="false">
      <c r="A1" s="26" t="s">
        <v>198</v>
      </c>
      <c r="B1" s="26" t="s">
        <v>199</v>
      </c>
      <c r="C1" s="26" t="s">
        <v>200</v>
      </c>
      <c r="D1" s="26" t="s">
        <v>201</v>
      </c>
      <c r="E1" s="26" t="s">
        <v>202</v>
      </c>
      <c r="F1" s="27" t="s">
        <v>203</v>
      </c>
      <c r="G1" s="28" t="s">
        <v>204</v>
      </c>
      <c r="H1" s="27" t="s">
        <v>205</v>
      </c>
      <c r="I1" s="26" t="s">
        <v>11</v>
      </c>
      <c r="J1" s="29" t="s">
        <v>206</v>
      </c>
      <c r="K1" s="29" t="s">
        <v>207</v>
      </c>
      <c r="L1" s="29" t="s">
        <v>208</v>
      </c>
      <c r="M1" s="29" t="s">
        <v>209</v>
      </c>
      <c r="N1" s="29" t="s">
        <v>210</v>
      </c>
    </row>
    <row r="2" customFormat="false" ht="15.75" hidden="false" customHeight="true" outlineLevel="0" collapsed="false">
      <c r="A2" s="30" t="n">
        <v>45206</v>
      </c>
      <c r="B2" s="31" t="s">
        <v>33</v>
      </c>
      <c r="C2" s="31" t="s">
        <v>34</v>
      </c>
      <c r="D2" s="31" t="n">
        <v>2</v>
      </c>
      <c r="E2" s="31" t="s">
        <v>14</v>
      </c>
      <c r="F2" s="32" t="n">
        <v>10.6</v>
      </c>
      <c r="G2" s="33" t="s">
        <v>211</v>
      </c>
      <c r="H2" s="32"/>
      <c r="I2" s="31" t="s">
        <v>20</v>
      </c>
      <c r="J2" s="31" t="s">
        <v>212</v>
      </c>
      <c r="K2" s="31" t="s">
        <v>213</v>
      </c>
      <c r="L2" s="31" t="s">
        <v>214</v>
      </c>
      <c r="M2" s="31" t="s">
        <v>215</v>
      </c>
      <c r="N2" s="32" t="str">
        <f aca="false">_xlfn.CONCAT(G2,", ",F2)</f>
        <v>GO, 10.6</v>
      </c>
      <c r="P2" s="34" t="s">
        <v>216</v>
      </c>
    </row>
    <row r="3" customFormat="false" ht="15.75" hidden="false" customHeight="true" outlineLevel="0" collapsed="false">
      <c r="A3" s="30" t="n">
        <v>45206</v>
      </c>
      <c r="B3" s="31" t="s">
        <v>33</v>
      </c>
      <c r="C3" s="31" t="s">
        <v>34</v>
      </c>
      <c r="D3" s="31" t="n">
        <v>6</v>
      </c>
      <c r="E3" s="31" t="s">
        <v>14</v>
      </c>
      <c r="F3" s="32" t="n">
        <v>8.21</v>
      </c>
      <c r="G3" s="33" t="s">
        <v>211</v>
      </c>
      <c r="H3" s="32"/>
      <c r="I3" s="31" t="s">
        <v>20</v>
      </c>
      <c r="J3" s="31" t="s">
        <v>212</v>
      </c>
      <c r="K3" s="31" t="s">
        <v>213</v>
      </c>
      <c r="L3" s="31" t="s">
        <v>214</v>
      </c>
      <c r="M3" s="31" t="s">
        <v>215</v>
      </c>
      <c r="N3" s="32" t="str">
        <f aca="false">_xlfn.CONCAT(G3,", ",F3)</f>
        <v>GO, 8.21</v>
      </c>
    </row>
    <row r="4" customFormat="false" ht="15.75" hidden="false" customHeight="true" outlineLevel="0" collapsed="false">
      <c r="A4" s="30" t="n">
        <v>45206</v>
      </c>
      <c r="B4" s="31" t="s">
        <v>33</v>
      </c>
      <c r="C4" s="31" t="s">
        <v>34</v>
      </c>
      <c r="D4" s="31" t="n">
        <v>11</v>
      </c>
      <c r="E4" s="31" t="s">
        <v>35</v>
      </c>
      <c r="F4" s="32" t="n">
        <v>30</v>
      </c>
      <c r="G4" s="33" t="s">
        <v>217</v>
      </c>
      <c r="H4" s="32"/>
      <c r="I4" s="31" t="s">
        <v>36</v>
      </c>
      <c r="J4" s="31" t="s">
        <v>212</v>
      </c>
      <c r="K4" s="31" t="s">
        <v>213</v>
      </c>
      <c r="L4" s="31" t="s">
        <v>214</v>
      </c>
      <c r="M4" s="31" t="s">
        <v>215</v>
      </c>
      <c r="N4" s="32" t="str">
        <f aca="false">_xlfn.CONCAT(G4,", ",F4)</f>
        <v>NOGO, 30</v>
      </c>
    </row>
    <row r="5" customFormat="false" ht="15.75" hidden="false" customHeight="true" outlineLevel="0" collapsed="false">
      <c r="A5" s="30" t="n">
        <v>45206</v>
      </c>
      <c r="B5" s="31" t="s">
        <v>33</v>
      </c>
      <c r="C5" s="31" t="s">
        <v>13</v>
      </c>
      <c r="D5" s="31" t="n">
        <v>19</v>
      </c>
      <c r="E5" s="31" t="s">
        <v>35</v>
      </c>
      <c r="F5" s="32" t="n">
        <v>30</v>
      </c>
      <c r="G5" s="33" t="s">
        <v>217</v>
      </c>
      <c r="H5" s="32"/>
      <c r="I5" s="31" t="s">
        <v>39</v>
      </c>
      <c r="J5" s="31" t="s">
        <v>218</v>
      </c>
      <c r="K5" s="31" t="s">
        <v>213</v>
      </c>
      <c r="L5" s="31" t="s">
        <v>214</v>
      </c>
      <c r="M5" s="31" t="s">
        <v>215</v>
      </c>
      <c r="N5" s="32" t="str">
        <f aca="false">_xlfn.CONCAT(G5,", ",F5)</f>
        <v>NOGO, 30</v>
      </c>
    </row>
    <row r="6" customFormat="false" ht="15.75" hidden="false" customHeight="true" outlineLevel="0" collapsed="false">
      <c r="A6" s="30" t="n">
        <v>45206</v>
      </c>
      <c r="B6" s="31" t="s">
        <v>33</v>
      </c>
      <c r="C6" s="31" t="s">
        <v>18</v>
      </c>
      <c r="D6" s="31" t="n">
        <v>1</v>
      </c>
      <c r="E6" s="31" t="s">
        <v>14</v>
      </c>
      <c r="F6" s="32" t="n">
        <v>8.95</v>
      </c>
      <c r="G6" s="33" t="s">
        <v>211</v>
      </c>
      <c r="H6" s="32"/>
      <c r="I6" s="31" t="s">
        <v>20</v>
      </c>
      <c r="J6" s="31" t="s">
        <v>219</v>
      </c>
      <c r="K6" s="31" t="s">
        <v>213</v>
      </c>
      <c r="L6" s="31" t="s">
        <v>214</v>
      </c>
      <c r="M6" s="31" t="s">
        <v>215</v>
      </c>
      <c r="N6" s="32" t="str">
        <f aca="false">_xlfn.CONCAT(G6,", ",F6)</f>
        <v>GO, 8.95</v>
      </c>
    </row>
    <row r="7" customFormat="false" ht="15.75" hidden="false" customHeight="true" outlineLevel="0" collapsed="false">
      <c r="A7" s="30" t="n">
        <v>45206</v>
      </c>
      <c r="B7" s="31" t="s">
        <v>33</v>
      </c>
      <c r="C7" s="31" t="s">
        <v>18</v>
      </c>
      <c r="D7" s="31" t="n">
        <v>8</v>
      </c>
      <c r="E7" s="31" t="s">
        <v>14</v>
      </c>
      <c r="F7" s="32" t="n">
        <v>7.62</v>
      </c>
      <c r="G7" s="33" t="s">
        <v>211</v>
      </c>
      <c r="H7" s="32"/>
      <c r="I7" s="31" t="s">
        <v>40</v>
      </c>
      <c r="J7" s="31" t="s">
        <v>219</v>
      </c>
      <c r="K7" s="31" t="s">
        <v>213</v>
      </c>
      <c r="L7" s="31" t="s">
        <v>214</v>
      </c>
      <c r="M7" s="31" t="s">
        <v>215</v>
      </c>
      <c r="N7" s="32" t="str">
        <f aca="false">_xlfn.CONCAT(G7,", ",F7)</f>
        <v>GO, 7.62</v>
      </c>
    </row>
    <row r="8" customFormat="false" ht="15.75" hidden="false" customHeight="true" outlineLevel="0" collapsed="false">
      <c r="A8" s="30" t="n">
        <v>45206</v>
      </c>
      <c r="B8" s="31" t="s">
        <v>33</v>
      </c>
      <c r="C8" s="31" t="s">
        <v>30</v>
      </c>
      <c r="D8" s="31" t="n">
        <v>5</v>
      </c>
      <c r="E8" s="31" t="s">
        <v>14</v>
      </c>
      <c r="F8" s="32" t="n">
        <v>9.21</v>
      </c>
      <c r="G8" s="33" t="s">
        <v>211</v>
      </c>
      <c r="H8" s="32"/>
      <c r="I8" s="31" t="s">
        <v>41</v>
      </c>
      <c r="J8" s="31" t="s">
        <v>220</v>
      </c>
      <c r="K8" s="31" t="s">
        <v>213</v>
      </c>
      <c r="L8" s="31" t="s">
        <v>214</v>
      </c>
      <c r="M8" s="31" t="s">
        <v>215</v>
      </c>
      <c r="N8" s="32" t="str">
        <f aca="false">_xlfn.CONCAT(G8,", ",F8)</f>
        <v>GO, 9.21</v>
      </c>
    </row>
    <row r="9" customFormat="false" ht="15.75" hidden="false" customHeight="true" outlineLevel="0" collapsed="false">
      <c r="A9" s="30" t="n">
        <v>45206</v>
      </c>
      <c r="B9" s="31" t="s">
        <v>33</v>
      </c>
      <c r="C9" s="31" t="s">
        <v>43</v>
      </c>
      <c r="D9" s="31" t="n">
        <v>4</v>
      </c>
      <c r="E9" s="31" t="s">
        <v>14</v>
      </c>
      <c r="F9" s="32" t="n">
        <v>10.09</v>
      </c>
      <c r="G9" s="33" t="s">
        <v>211</v>
      </c>
      <c r="H9" s="32"/>
      <c r="I9" s="31" t="s">
        <v>44</v>
      </c>
      <c r="J9" s="31" t="s">
        <v>221</v>
      </c>
      <c r="K9" s="31" t="s">
        <v>213</v>
      </c>
      <c r="L9" s="31" t="s">
        <v>214</v>
      </c>
      <c r="M9" s="31" t="s">
        <v>215</v>
      </c>
      <c r="N9" s="32" t="str">
        <f aca="false">_xlfn.CONCAT(G9,", ",F9)</f>
        <v>GO, 10.09</v>
      </c>
    </row>
    <row r="10" customFormat="false" ht="15.75" hidden="false" customHeight="true" outlineLevel="0" collapsed="false">
      <c r="A10" s="30" t="n">
        <v>45206</v>
      </c>
      <c r="B10" s="31" t="s">
        <v>33</v>
      </c>
      <c r="C10" s="31" t="s">
        <v>43</v>
      </c>
      <c r="D10" s="31" t="n">
        <v>5</v>
      </c>
      <c r="E10" s="31" t="s">
        <v>14</v>
      </c>
      <c r="F10" s="32" t="n">
        <v>12.45</v>
      </c>
      <c r="G10" s="33" t="s">
        <v>211</v>
      </c>
      <c r="H10" s="32"/>
      <c r="I10" s="31" t="s">
        <v>45</v>
      </c>
      <c r="J10" s="31" t="s">
        <v>221</v>
      </c>
      <c r="K10" s="31" t="s">
        <v>213</v>
      </c>
      <c r="L10" s="31" t="s">
        <v>214</v>
      </c>
      <c r="M10" s="31" t="s">
        <v>215</v>
      </c>
      <c r="N10" s="32" t="str">
        <f aca="false">_xlfn.CONCAT(G10,", ",F10)</f>
        <v>GO, 12.45</v>
      </c>
    </row>
    <row r="11" customFormat="false" ht="15.75" hidden="false" customHeight="true" outlineLevel="0" collapsed="false">
      <c r="A11" s="30" t="n">
        <v>45206</v>
      </c>
      <c r="B11" s="31" t="s">
        <v>33</v>
      </c>
      <c r="C11" s="31" t="s">
        <v>43</v>
      </c>
      <c r="D11" s="31" t="n">
        <v>8</v>
      </c>
      <c r="E11" s="31" t="s">
        <v>14</v>
      </c>
      <c r="F11" s="32" t="n">
        <v>9.29</v>
      </c>
      <c r="G11" s="33" t="s">
        <v>211</v>
      </c>
      <c r="H11" s="32"/>
      <c r="I11" s="31" t="s">
        <v>46</v>
      </c>
      <c r="J11" s="31" t="s">
        <v>221</v>
      </c>
      <c r="K11" s="31" t="s">
        <v>213</v>
      </c>
      <c r="L11" s="31" t="s">
        <v>214</v>
      </c>
      <c r="M11" s="31" t="s">
        <v>215</v>
      </c>
      <c r="N11" s="32" t="str">
        <f aca="false">_xlfn.CONCAT(G11,", ",F11)</f>
        <v>GO, 9.29</v>
      </c>
    </row>
    <row r="12" customFormat="false" ht="15.75" hidden="false" customHeight="true" outlineLevel="0" collapsed="false">
      <c r="A12" s="30" t="n">
        <v>45207</v>
      </c>
      <c r="B12" s="31" t="s">
        <v>48</v>
      </c>
      <c r="C12" s="31" t="s">
        <v>34</v>
      </c>
      <c r="D12" s="31" t="n">
        <v>11</v>
      </c>
      <c r="E12" s="31" t="s">
        <v>14</v>
      </c>
      <c r="F12" s="32" t="n">
        <v>9.87</v>
      </c>
      <c r="G12" s="33" t="s">
        <v>211</v>
      </c>
      <c r="H12" s="32"/>
      <c r="I12" s="31" t="s">
        <v>20</v>
      </c>
      <c r="J12" s="31" t="s">
        <v>222</v>
      </c>
      <c r="K12" s="31" t="s">
        <v>213</v>
      </c>
      <c r="L12" s="31" t="s">
        <v>214</v>
      </c>
      <c r="M12" s="31" t="s">
        <v>215</v>
      </c>
      <c r="N12" s="32" t="str">
        <f aca="false">_xlfn.CONCAT(G12,", ",F12)</f>
        <v>GO, 9.87</v>
      </c>
    </row>
    <row r="13" customFormat="false" ht="15.75" hidden="false" customHeight="true" outlineLevel="0" collapsed="false">
      <c r="A13" s="30" t="n">
        <v>45207</v>
      </c>
      <c r="B13" s="31" t="s">
        <v>48</v>
      </c>
      <c r="C13" s="31" t="s">
        <v>34</v>
      </c>
      <c r="D13" s="31" t="n">
        <v>17</v>
      </c>
      <c r="E13" s="31" t="s">
        <v>14</v>
      </c>
      <c r="F13" s="32" t="n">
        <v>8.22</v>
      </c>
      <c r="G13" s="33" t="s">
        <v>211</v>
      </c>
      <c r="H13" s="32"/>
      <c r="I13" s="31" t="s">
        <v>20</v>
      </c>
      <c r="J13" s="31" t="s">
        <v>222</v>
      </c>
      <c r="K13" s="31" t="s">
        <v>213</v>
      </c>
      <c r="L13" s="31" t="s">
        <v>214</v>
      </c>
      <c r="M13" s="31" t="s">
        <v>215</v>
      </c>
      <c r="N13" s="32" t="str">
        <f aca="false">_xlfn.CONCAT(G13,", ",F13)</f>
        <v>GO, 8.22</v>
      </c>
    </row>
    <row r="14" customFormat="false" ht="15.75" hidden="false" customHeight="true" outlineLevel="0" collapsed="false">
      <c r="A14" s="30" t="n">
        <v>45207</v>
      </c>
      <c r="B14" s="31" t="s">
        <v>49</v>
      </c>
      <c r="C14" s="31" t="s">
        <v>38</v>
      </c>
      <c r="D14" s="31" t="n">
        <v>1</v>
      </c>
      <c r="E14" s="31" t="s">
        <v>14</v>
      </c>
      <c r="F14" s="32" t="n">
        <v>7.43</v>
      </c>
      <c r="G14" s="33" t="s">
        <v>211</v>
      </c>
      <c r="H14" s="32"/>
      <c r="I14" s="31" t="s">
        <v>223</v>
      </c>
      <c r="J14" s="31" t="s">
        <v>224</v>
      </c>
      <c r="K14" s="31" t="s">
        <v>213</v>
      </c>
      <c r="L14" s="31" t="s">
        <v>214</v>
      </c>
      <c r="M14" s="31" t="s">
        <v>215</v>
      </c>
      <c r="N14" s="32" t="str">
        <f aca="false">_xlfn.CONCAT(G14,", ",F14)</f>
        <v>GO, 7.43</v>
      </c>
    </row>
    <row r="15" customFormat="false" ht="15.75" hidden="false" customHeight="true" outlineLevel="0" collapsed="false">
      <c r="A15" s="30" t="n">
        <v>45207</v>
      </c>
      <c r="B15" s="31" t="s">
        <v>49</v>
      </c>
      <c r="C15" s="31" t="s">
        <v>38</v>
      </c>
      <c r="D15" s="31" t="n">
        <v>8</v>
      </c>
      <c r="E15" s="31" t="s">
        <v>14</v>
      </c>
      <c r="F15" s="32" t="n">
        <v>6.56</v>
      </c>
      <c r="G15" s="33" t="s">
        <v>211</v>
      </c>
      <c r="H15" s="32"/>
      <c r="I15" s="31" t="s">
        <v>50</v>
      </c>
      <c r="J15" s="31" t="s">
        <v>224</v>
      </c>
      <c r="K15" s="31" t="s">
        <v>213</v>
      </c>
      <c r="L15" s="31" t="s">
        <v>214</v>
      </c>
      <c r="M15" s="31" t="s">
        <v>215</v>
      </c>
      <c r="N15" s="32" t="str">
        <f aca="false">_xlfn.CONCAT(G15,", ",F15)</f>
        <v>GO, 6.56</v>
      </c>
    </row>
    <row r="16" customFormat="false" ht="15.75" hidden="false" customHeight="true" outlineLevel="0" collapsed="false">
      <c r="A16" s="30" t="n">
        <v>45207</v>
      </c>
      <c r="B16" s="31" t="s">
        <v>49</v>
      </c>
      <c r="C16" s="31" t="s">
        <v>38</v>
      </c>
      <c r="D16" s="31" t="n">
        <v>15</v>
      </c>
      <c r="E16" s="31" t="s">
        <v>35</v>
      </c>
      <c r="F16" s="35" t="n">
        <v>30</v>
      </c>
      <c r="G16" s="36" t="s">
        <v>217</v>
      </c>
      <c r="H16" s="35" t="s">
        <v>225</v>
      </c>
      <c r="I16" s="31" t="s">
        <v>50</v>
      </c>
      <c r="J16" s="31" t="s">
        <v>224</v>
      </c>
      <c r="K16" s="31" t="s">
        <v>213</v>
      </c>
      <c r="L16" s="31" t="s">
        <v>214</v>
      </c>
      <c r="M16" s="31" t="s">
        <v>215</v>
      </c>
      <c r="N16" s="32" t="str">
        <f aca="false">_xlfn.CONCAT(G16,", ",F16)</f>
        <v>NOGO, 30</v>
      </c>
    </row>
    <row r="17" customFormat="false" ht="15.75" hidden="false" customHeight="true" outlineLevel="0" collapsed="false">
      <c r="A17" s="30" t="n">
        <v>45207</v>
      </c>
      <c r="B17" s="31" t="s">
        <v>49</v>
      </c>
      <c r="C17" s="31" t="s">
        <v>51</v>
      </c>
      <c r="D17" s="31" t="n">
        <v>6</v>
      </c>
      <c r="E17" s="31" t="s">
        <v>14</v>
      </c>
      <c r="F17" s="32" t="n">
        <v>9.43</v>
      </c>
      <c r="G17" s="33" t="s">
        <v>211</v>
      </c>
      <c r="H17" s="32"/>
      <c r="I17" s="31" t="s">
        <v>20</v>
      </c>
      <c r="J17" s="31" t="s">
        <v>226</v>
      </c>
      <c r="K17" s="31" t="s">
        <v>213</v>
      </c>
      <c r="L17" s="31" t="s">
        <v>214</v>
      </c>
      <c r="M17" s="31" t="s">
        <v>215</v>
      </c>
      <c r="N17" s="32" t="str">
        <f aca="false">_xlfn.CONCAT(G17,", ",F17)</f>
        <v>GO, 9.43</v>
      </c>
    </row>
    <row r="18" customFormat="false" ht="15.75" hidden="false" customHeight="true" outlineLevel="0" collapsed="false">
      <c r="A18" s="30" t="n">
        <v>45207</v>
      </c>
      <c r="B18" s="31" t="s">
        <v>49</v>
      </c>
      <c r="C18" s="31" t="s">
        <v>51</v>
      </c>
      <c r="D18" s="31" t="n">
        <v>9</v>
      </c>
      <c r="E18" s="31" t="s">
        <v>14</v>
      </c>
      <c r="F18" s="32" t="n">
        <v>9.08</v>
      </c>
      <c r="G18" s="33" t="s">
        <v>211</v>
      </c>
      <c r="H18" s="32"/>
      <c r="I18" s="31" t="s">
        <v>50</v>
      </c>
      <c r="J18" s="31" t="s">
        <v>226</v>
      </c>
      <c r="K18" s="31" t="s">
        <v>213</v>
      </c>
      <c r="L18" s="31" t="s">
        <v>214</v>
      </c>
      <c r="M18" s="31" t="s">
        <v>215</v>
      </c>
      <c r="N18" s="32" t="str">
        <f aca="false">_xlfn.CONCAT(G18,", ",F18)</f>
        <v>GO, 9.08</v>
      </c>
    </row>
    <row r="19" customFormat="false" ht="15.75" hidden="false" customHeight="true" outlineLevel="0" collapsed="false">
      <c r="A19" s="30" t="n">
        <v>45207</v>
      </c>
      <c r="B19" s="31" t="s">
        <v>49</v>
      </c>
      <c r="C19" s="31" t="s">
        <v>51</v>
      </c>
      <c r="D19" s="31" t="n">
        <v>10</v>
      </c>
      <c r="E19" s="31" t="s">
        <v>14</v>
      </c>
      <c r="F19" s="32" t="n">
        <v>7.95</v>
      </c>
      <c r="G19" s="33" t="s">
        <v>211</v>
      </c>
      <c r="H19" s="32"/>
      <c r="I19" s="31" t="s">
        <v>50</v>
      </c>
      <c r="J19" s="31" t="s">
        <v>226</v>
      </c>
      <c r="K19" s="31" t="s">
        <v>213</v>
      </c>
      <c r="L19" s="31" t="s">
        <v>214</v>
      </c>
      <c r="M19" s="31" t="s">
        <v>215</v>
      </c>
      <c r="N19" s="32" t="str">
        <f aca="false">_xlfn.CONCAT(G19,", ",F19)</f>
        <v>GO, 7.95</v>
      </c>
    </row>
    <row r="20" customFormat="false" ht="15.75" hidden="false" customHeight="true" outlineLevel="0" collapsed="false">
      <c r="A20" s="30" t="n">
        <v>45207</v>
      </c>
      <c r="B20" s="31" t="s">
        <v>49</v>
      </c>
      <c r="C20" s="31" t="s">
        <v>13</v>
      </c>
      <c r="D20" s="31" t="n">
        <v>4</v>
      </c>
      <c r="E20" s="31" t="s">
        <v>14</v>
      </c>
      <c r="F20" s="32" t="n">
        <v>6.45</v>
      </c>
      <c r="G20" s="33" t="s">
        <v>211</v>
      </c>
      <c r="H20" s="32"/>
      <c r="I20" s="31" t="s">
        <v>20</v>
      </c>
      <c r="J20" s="31" t="s">
        <v>227</v>
      </c>
      <c r="K20" s="31" t="s">
        <v>213</v>
      </c>
      <c r="L20" s="31" t="s">
        <v>214</v>
      </c>
      <c r="M20" s="31" t="s">
        <v>215</v>
      </c>
      <c r="N20" s="32" t="str">
        <f aca="false">_xlfn.CONCAT(G20,", ",F20)</f>
        <v>GO, 6.45</v>
      </c>
    </row>
    <row r="21" customFormat="false" ht="15.75" hidden="false" customHeight="true" outlineLevel="0" collapsed="false">
      <c r="A21" s="30" t="n">
        <v>45207</v>
      </c>
      <c r="B21" s="31" t="s">
        <v>49</v>
      </c>
      <c r="C21" s="31" t="s">
        <v>13</v>
      </c>
      <c r="D21" s="31" t="n">
        <v>8</v>
      </c>
      <c r="E21" s="31" t="s">
        <v>14</v>
      </c>
      <c r="F21" s="32" t="n">
        <v>7.11</v>
      </c>
      <c r="G21" s="33" t="s">
        <v>211</v>
      </c>
      <c r="H21" s="32"/>
      <c r="I21" s="31" t="s">
        <v>20</v>
      </c>
      <c r="J21" s="31" t="s">
        <v>227</v>
      </c>
      <c r="K21" s="31" t="s">
        <v>213</v>
      </c>
      <c r="L21" s="31" t="s">
        <v>214</v>
      </c>
      <c r="M21" s="31" t="s">
        <v>215</v>
      </c>
      <c r="N21" s="32" t="str">
        <f aca="false">_xlfn.CONCAT(G21,", ",F21)</f>
        <v>GO, 7.11</v>
      </c>
    </row>
    <row r="22" customFormat="false" ht="15.75" hidden="false" customHeight="true" outlineLevel="0" collapsed="false">
      <c r="A22" s="30" t="n">
        <v>45207</v>
      </c>
      <c r="B22" s="31" t="s">
        <v>49</v>
      </c>
      <c r="C22" s="31" t="s">
        <v>13</v>
      </c>
      <c r="D22" s="31" t="n">
        <v>9</v>
      </c>
      <c r="E22" s="31" t="s">
        <v>14</v>
      </c>
      <c r="F22" s="32" t="n">
        <v>6.24</v>
      </c>
      <c r="G22" s="33" t="s">
        <v>211</v>
      </c>
      <c r="H22" s="32"/>
      <c r="I22" s="31" t="s">
        <v>20</v>
      </c>
      <c r="J22" s="31" t="s">
        <v>227</v>
      </c>
      <c r="K22" s="31" t="s">
        <v>213</v>
      </c>
      <c r="L22" s="31" t="s">
        <v>214</v>
      </c>
      <c r="M22" s="31" t="s">
        <v>215</v>
      </c>
      <c r="N22" s="32" t="str">
        <f aca="false">_xlfn.CONCAT(G22,", ",F22)</f>
        <v>GO, 6.24</v>
      </c>
    </row>
    <row r="23" customFormat="false" ht="15.75" hidden="false" customHeight="true" outlineLevel="0" collapsed="false">
      <c r="A23" s="30" t="n">
        <v>45207</v>
      </c>
      <c r="B23" s="31" t="s">
        <v>48</v>
      </c>
      <c r="C23" s="31" t="s">
        <v>228</v>
      </c>
      <c r="D23" s="31" t="n">
        <v>9</v>
      </c>
      <c r="E23" s="31" t="s">
        <v>14</v>
      </c>
      <c r="F23" s="32" t="n">
        <v>8.55</v>
      </c>
      <c r="G23" s="33" t="s">
        <v>211</v>
      </c>
      <c r="H23" s="32"/>
      <c r="I23" s="31" t="s">
        <v>20</v>
      </c>
      <c r="J23" s="31" t="s">
        <v>229</v>
      </c>
      <c r="K23" s="31" t="s">
        <v>213</v>
      </c>
      <c r="L23" s="31" t="s">
        <v>214</v>
      </c>
      <c r="M23" s="31" t="s">
        <v>215</v>
      </c>
      <c r="N23" s="32" t="str">
        <f aca="false">_xlfn.CONCAT(G23,", ",F23)</f>
        <v>GO, 8.55</v>
      </c>
    </row>
    <row r="24" customFormat="false" ht="15.75" hidden="false" customHeight="true" outlineLevel="0" collapsed="false">
      <c r="A24" s="30" t="n">
        <v>45207</v>
      </c>
      <c r="B24" s="31" t="s">
        <v>48</v>
      </c>
      <c r="C24" s="31" t="s">
        <v>228</v>
      </c>
      <c r="D24" s="31" t="n">
        <v>11</v>
      </c>
      <c r="E24" s="31" t="s">
        <v>14</v>
      </c>
      <c r="F24" s="32" t="n">
        <v>7.95</v>
      </c>
      <c r="G24" s="33" t="s">
        <v>211</v>
      </c>
      <c r="H24" s="32"/>
      <c r="I24" s="31" t="s">
        <v>20</v>
      </c>
      <c r="J24" s="31" t="s">
        <v>229</v>
      </c>
      <c r="K24" s="31" t="s">
        <v>213</v>
      </c>
      <c r="L24" s="31" t="s">
        <v>214</v>
      </c>
      <c r="M24" s="31" t="s">
        <v>215</v>
      </c>
      <c r="N24" s="32" t="str">
        <f aca="false">_xlfn.CONCAT(G24,", ",F24)</f>
        <v>GO, 7.95</v>
      </c>
    </row>
    <row r="25" customFormat="false" ht="15.75" hidden="false" customHeight="true" outlineLevel="0" collapsed="false">
      <c r="A25" s="30" t="n">
        <v>45207</v>
      </c>
      <c r="B25" s="31" t="s">
        <v>49</v>
      </c>
      <c r="C25" s="31" t="s">
        <v>30</v>
      </c>
      <c r="D25" s="31" t="n">
        <v>5</v>
      </c>
      <c r="E25" s="31" t="s">
        <v>14</v>
      </c>
      <c r="F25" s="32" t="n">
        <v>8.09</v>
      </c>
      <c r="G25" s="33" t="s">
        <v>211</v>
      </c>
      <c r="H25" s="32"/>
      <c r="I25" s="31" t="s">
        <v>20</v>
      </c>
      <c r="J25" s="31" t="s">
        <v>230</v>
      </c>
      <c r="K25" s="31" t="s">
        <v>213</v>
      </c>
      <c r="L25" s="31" t="s">
        <v>214</v>
      </c>
      <c r="M25" s="31" t="s">
        <v>215</v>
      </c>
      <c r="N25" s="32" t="str">
        <f aca="false">_xlfn.CONCAT(G25,", ",F25)</f>
        <v>GO, 8.09</v>
      </c>
    </row>
    <row r="26" customFormat="false" ht="15.75" hidden="false" customHeight="true" outlineLevel="0" collapsed="false">
      <c r="A26" s="30" t="n">
        <v>45207</v>
      </c>
      <c r="B26" s="31" t="s">
        <v>49</v>
      </c>
      <c r="C26" s="31" t="s">
        <v>30</v>
      </c>
      <c r="D26" s="31" t="n">
        <v>9</v>
      </c>
      <c r="E26" s="31" t="s">
        <v>14</v>
      </c>
      <c r="F26" s="32" t="n">
        <v>8.69</v>
      </c>
      <c r="G26" s="33" t="s">
        <v>211</v>
      </c>
      <c r="H26" s="32"/>
      <c r="I26" s="31" t="s">
        <v>20</v>
      </c>
      <c r="J26" s="31" t="s">
        <v>230</v>
      </c>
      <c r="K26" s="31" t="s">
        <v>213</v>
      </c>
      <c r="L26" s="31" t="s">
        <v>214</v>
      </c>
      <c r="M26" s="31" t="s">
        <v>215</v>
      </c>
      <c r="N26" s="32" t="str">
        <f aca="false">_xlfn.CONCAT(G26,", ",F26)</f>
        <v>GO, 8.69</v>
      </c>
    </row>
    <row r="27" customFormat="false" ht="15.75" hidden="false" customHeight="true" outlineLevel="0" collapsed="false">
      <c r="A27" s="30" t="n">
        <v>45207</v>
      </c>
      <c r="B27" s="31" t="s">
        <v>49</v>
      </c>
      <c r="C27" s="31" t="s">
        <v>30</v>
      </c>
      <c r="D27" s="31" t="n">
        <v>11</v>
      </c>
      <c r="E27" s="31" t="s">
        <v>35</v>
      </c>
      <c r="F27" s="32" t="n">
        <v>12.88</v>
      </c>
      <c r="G27" s="33" t="s">
        <v>211</v>
      </c>
      <c r="H27" s="32"/>
      <c r="I27" s="31" t="s">
        <v>54</v>
      </c>
      <c r="J27" s="31" t="s">
        <v>230</v>
      </c>
      <c r="K27" s="31" t="s">
        <v>213</v>
      </c>
      <c r="L27" s="31" t="s">
        <v>214</v>
      </c>
      <c r="M27" s="31" t="s">
        <v>215</v>
      </c>
      <c r="N27" s="32" t="str">
        <f aca="false">_xlfn.CONCAT(G27,", ",F27)</f>
        <v>GO, 12.88</v>
      </c>
    </row>
    <row r="28" customFormat="false" ht="15.75" hidden="false" customHeight="true" outlineLevel="0" collapsed="false">
      <c r="A28" s="30" t="n">
        <v>45207</v>
      </c>
      <c r="B28" s="31" t="s">
        <v>48</v>
      </c>
      <c r="C28" s="31" t="s">
        <v>43</v>
      </c>
      <c r="D28" s="31" t="n">
        <v>2</v>
      </c>
      <c r="E28" s="31" t="s">
        <v>35</v>
      </c>
      <c r="F28" s="32" t="n">
        <v>30</v>
      </c>
      <c r="G28" s="33" t="s">
        <v>217</v>
      </c>
      <c r="H28" s="32"/>
      <c r="I28" s="31" t="s">
        <v>50</v>
      </c>
      <c r="J28" s="31" t="s">
        <v>231</v>
      </c>
      <c r="K28" s="31" t="s">
        <v>213</v>
      </c>
      <c r="L28" s="31" t="s">
        <v>214</v>
      </c>
      <c r="M28" s="31" t="s">
        <v>215</v>
      </c>
      <c r="N28" s="32" t="str">
        <f aca="false">_xlfn.CONCAT(G28,", ",F28)</f>
        <v>NOGO, 30</v>
      </c>
    </row>
    <row r="29" customFormat="false" ht="15.75" hidden="false" customHeight="true" outlineLevel="0" collapsed="false">
      <c r="A29" s="30" t="n">
        <v>45208</v>
      </c>
      <c r="B29" s="31" t="s">
        <v>57</v>
      </c>
      <c r="C29" s="31" t="s">
        <v>38</v>
      </c>
      <c r="D29" s="31" t="n">
        <v>13</v>
      </c>
      <c r="E29" s="31" t="s">
        <v>35</v>
      </c>
      <c r="F29" s="32" t="n">
        <v>21.29</v>
      </c>
      <c r="G29" s="33" t="s">
        <v>211</v>
      </c>
      <c r="H29" s="32"/>
      <c r="I29" s="31" t="s">
        <v>45</v>
      </c>
      <c r="J29" s="31" t="s">
        <v>232</v>
      </c>
      <c r="K29" s="31" t="s">
        <v>213</v>
      </c>
      <c r="L29" s="31" t="s">
        <v>214</v>
      </c>
      <c r="M29" s="31" t="s">
        <v>215</v>
      </c>
      <c r="N29" s="32" t="str">
        <f aca="false">_xlfn.CONCAT(G29,", ",F29)</f>
        <v>GO, 21.29</v>
      </c>
    </row>
    <row r="30" customFormat="false" ht="15.75" hidden="false" customHeight="true" outlineLevel="0" collapsed="false">
      <c r="A30" s="30" t="n">
        <v>45208</v>
      </c>
      <c r="B30" s="31" t="s">
        <v>57</v>
      </c>
      <c r="C30" s="31" t="s">
        <v>38</v>
      </c>
      <c r="D30" s="31" t="n">
        <v>15</v>
      </c>
      <c r="E30" s="31" t="s">
        <v>35</v>
      </c>
      <c r="F30" s="35" t="n">
        <v>30</v>
      </c>
      <c r="G30" s="36" t="s">
        <v>217</v>
      </c>
      <c r="H30" s="35" t="s">
        <v>225</v>
      </c>
      <c r="I30" s="31" t="s">
        <v>17</v>
      </c>
      <c r="J30" s="31" t="s">
        <v>232</v>
      </c>
      <c r="K30" s="31" t="s">
        <v>213</v>
      </c>
      <c r="L30" s="31" t="s">
        <v>214</v>
      </c>
      <c r="M30" s="31" t="s">
        <v>215</v>
      </c>
      <c r="N30" s="32" t="str">
        <f aca="false">_xlfn.CONCAT(G30,", ",F30)</f>
        <v>NOGO, 30</v>
      </c>
    </row>
    <row r="31" customFormat="false" ht="15.75" hidden="false" customHeight="true" outlineLevel="0" collapsed="false">
      <c r="A31" s="30" t="n">
        <v>45208</v>
      </c>
      <c r="B31" s="31" t="s">
        <v>57</v>
      </c>
      <c r="C31" s="31" t="s">
        <v>29</v>
      </c>
      <c r="D31" s="31" t="n">
        <v>1</v>
      </c>
      <c r="E31" s="31" t="s">
        <v>14</v>
      </c>
      <c r="F31" s="32" t="n">
        <v>10.68</v>
      </c>
      <c r="G31" s="33" t="s">
        <v>211</v>
      </c>
      <c r="H31" s="32"/>
      <c r="I31" s="31" t="s">
        <v>55</v>
      </c>
      <c r="J31" s="31" t="s">
        <v>233</v>
      </c>
      <c r="K31" s="31" t="s">
        <v>213</v>
      </c>
      <c r="L31" s="31" t="s">
        <v>214</v>
      </c>
      <c r="M31" s="31" t="s">
        <v>215</v>
      </c>
      <c r="N31" s="32" t="str">
        <f aca="false">_xlfn.CONCAT(G31,", ",F31)</f>
        <v>GO, 10.68</v>
      </c>
    </row>
    <row r="32" customFormat="false" ht="15.75" hidden="false" customHeight="true" outlineLevel="0" collapsed="false">
      <c r="A32" s="30" t="n">
        <v>45208</v>
      </c>
      <c r="B32" s="31" t="s">
        <v>57</v>
      </c>
      <c r="C32" s="31" t="s">
        <v>29</v>
      </c>
      <c r="D32" s="31" t="n">
        <v>2</v>
      </c>
      <c r="E32" s="31" t="s">
        <v>14</v>
      </c>
      <c r="F32" s="32" t="n">
        <v>9.26</v>
      </c>
      <c r="G32" s="33" t="s">
        <v>211</v>
      </c>
      <c r="H32" s="32"/>
      <c r="I32" s="31" t="s">
        <v>55</v>
      </c>
      <c r="J32" s="31" t="s">
        <v>233</v>
      </c>
      <c r="K32" s="31" t="s">
        <v>213</v>
      </c>
      <c r="L32" s="31" t="s">
        <v>214</v>
      </c>
      <c r="M32" s="31" t="s">
        <v>215</v>
      </c>
      <c r="N32" s="32" t="str">
        <f aca="false">_xlfn.CONCAT(G32,", ",F32)</f>
        <v>GO, 9.26</v>
      </c>
    </row>
    <row r="33" customFormat="false" ht="15.75" hidden="false" customHeight="true" outlineLevel="0" collapsed="false">
      <c r="A33" s="30" t="n">
        <v>45208</v>
      </c>
      <c r="B33" s="31" t="s">
        <v>57</v>
      </c>
      <c r="C33" s="31" t="s">
        <v>29</v>
      </c>
      <c r="D33" s="31" t="n">
        <v>3</v>
      </c>
      <c r="E33" s="31" t="s">
        <v>35</v>
      </c>
      <c r="F33" s="32" t="n">
        <v>30</v>
      </c>
      <c r="G33" s="33" t="s">
        <v>217</v>
      </c>
      <c r="H33" s="32"/>
      <c r="I33" s="31" t="s">
        <v>55</v>
      </c>
      <c r="J33" s="31" t="s">
        <v>233</v>
      </c>
      <c r="K33" s="31" t="s">
        <v>213</v>
      </c>
      <c r="L33" s="31" t="s">
        <v>214</v>
      </c>
      <c r="M33" s="31" t="s">
        <v>215</v>
      </c>
      <c r="N33" s="32" t="str">
        <f aca="false">_xlfn.CONCAT(G33,", ",F33)</f>
        <v>NOGO, 30</v>
      </c>
    </row>
    <row r="34" customFormat="false" ht="15.75" hidden="false" customHeight="true" outlineLevel="0" collapsed="false">
      <c r="A34" s="30" t="n">
        <v>45208</v>
      </c>
      <c r="B34" s="31" t="s">
        <v>57</v>
      </c>
      <c r="C34" s="31" t="s">
        <v>29</v>
      </c>
      <c r="D34" s="31" t="n">
        <v>4</v>
      </c>
      <c r="E34" s="31" t="s">
        <v>14</v>
      </c>
      <c r="F34" s="32" t="n">
        <v>10.62</v>
      </c>
      <c r="G34" s="33" t="s">
        <v>211</v>
      </c>
      <c r="H34" s="32"/>
      <c r="I34" s="31" t="s">
        <v>55</v>
      </c>
      <c r="J34" s="31" t="s">
        <v>233</v>
      </c>
      <c r="K34" s="31" t="s">
        <v>213</v>
      </c>
      <c r="L34" s="31" t="s">
        <v>214</v>
      </c>
      <c r="M34" s="31" t="s">
        <v>215</v>
      </c>
      <c r="N34" s="32" t="str">
        <f aca="false">_xlfn.CONCAT(G34,", ",F34)</f>
        <v>GO, 10.62</v>
      </c>
    </row>
    <row r="35" customFormat="false" ht="15.75" hidden="false" customHeight="true" outlineLevel="0" collapsed="false">
      <c r="A35" s="30" t="n">
        <v>45208</v>
      </c>
      <c r="B35" s="31" t="s">
        <v>57</v>
      </c>
      <c r="C35" s="31" t="s">
        <v>29</v>
      </c>
      <c r="D35" s="31" t="n">
        <v>16</v>
      </c>
      <c r="E35" s="31" t="s">
        <v>14</v>
      </c>
      <c r="F35" s="32" t="n">
        <v>12.54</v>
      </c>
      <c r="G35" s="33" t="s">
        <v>211</v>
      </c>
      <c r="H35" s="32"/>
      <c r="I35" s="31" t="s">
        <v>62</v>
      </c>
      <c r="J35" s="31" t="s">
        <v>233</v>
      </c>
      <c r="K35" s="31" t="s">
        <v>213</v>
      </c>
      <c r="L35" s="31" t="s">
        <v>214</v>
      </c>
      <c r="M35" s="31" t="s">
        <v>215</v>
      </c>
      <c r="N35" s="32" t="str">
        <f aca="false">_xlfn.CONCAT(G35,", ",F35)</f>
        <v>GO, 12.54</v>
      </c>
    </row>
    <row r="36" customFormat="false" ht="15.75" hidden="false" customHeight="true" outlineLevel="0" collapsed="false">
      <c r="A36" s="30" t="n">
        <v>45208</v>
      </c>
      <c r="B36" s="31" t="s">
        <v>48</v>
      </c>
      <c r="C36" s="31" t="s">
        <v>30</v>
      </c>
      <c r="D36" s="31" t="n">
        <v>1</v>
      </c>
      <c r="E36" s="31" t="s">
        <v>14</v>
      </c>
      <c r="F36" s="32" t="n">
        <v>10.23</v>
      </c>
      <c r="G36" s="33" t="s">
        <v>211</v>
      </c>
      <c r="H36" s="32"/>
      <c r="I36" s="31" t="s">
        <v>54</v>
      </c>
      <c r="J36" s="31" t="s">
        <v>234</v>
      </c>
      <c r="K36" s="31" t="s">
        <v>213</v>
      </c>
      <c r="L36" s="31" t="s">
        <v>214</v>
      </c>
      <c r="M36" s="31" t="s">
        <v>215</v>
      </c>
      <c r="N36" s="32" t="str">
        <f aca="false">_xlfn.CONCAT(G36,", ",F36)</f>
        <v>GO, 10.23</v>
      </c>
    </row>
    <row r="37" customFormat="false" ht="15.75" hidden="false" customHeight="true" outlineLevel="0" collapsed="false">
      <c r="A37" s="30" t="n">
        <v>45208</v>
      </c>
      <c r="B37" s="31" t="s">
        <v>48</v>
      </c>
      <c r="C37" s="31" t="s">
        <v>30</v>
      </c>
      <c r="D37" s="31" t="n">
        <v>2</v>
      </c>
      <c r="E37" s="31" t="s">
        <v>35</v>
      </c>
      <c r="F37" s="32" t="n">
        <v>30</v>
      </c>
      <c r="G37" s="33" t="s">
        <v>217</v>
      </c>
      <c r="H37" s="32"/>
      <c r="I37" s="31" t="s">
        <v>36</v>
      </c>
      <c r="J37" s="31" t="s">
        <v>234</v>
      </c>
      <c r="K37" s="31" t="s">
        <v>213</v>
      </c>
      <c r="L37" s="31" t="s">
        <v>214</v>
      </c>
      <c r="M37" s="31" t="s">
        <v>215</v>
      </c>
      <c r="N37" s="32" t="str">
        <f aca="false">_xlfn.CONCAT(G37,", ",F37)</f>
        <v>NOGO, 30</v>
      </c>
    </row>
    <row r="38" customFormat="false" ht="15.75" hidden="false" customHeight="true" outlineLevel="0" collapsed="false">
      <c r="A38" s="30" t="n">
        <v>45209</v>
      </c>
      <c r="B38" s="31" t="s">
        <v>58</v>
      </c>
      <c r="C38" s="31" t="s">
        <v>38</v>
      </c>
      <c r="D38" s="31" t="n">
        <v>15</v>
      </c>
      <c r="E38" s="31" t="s">
        <v>35</v>
      </c>
      <c r="F38" s="32" t="n">
        <v>24.74</v>
      </c>
      <c r="G38" s="33" t="s">
        <v>211</v>
      </c>
      <c r="H38" s="32"/>
      <c r="I38" s="31" t="s">
        <v>65</v>
      </c>
      <c r="J38" s="31" t="s">
        <v>235</v>
      </c>
      <c r="K38" s="31" t="s">
        <v>213</v>
      </c>
      <c r="L38" s="31" t="s">
        <v>214</v>
      </c>
      <c r="M38" s="31" t="s">
        <v>215</v>
      </c>
      <c r="N38" s="32" t="str">
        <f aca="false">_xlfn.CONCAT(G38,", ",F38)</f>
        <v>GO, 24.74</v>
      </c>
    </row>
    <row r="39" customFormat="false" ht="15.75" hidden="false" customHeight="true" outlineLevel="0" collapsed="false">
      <c r="A39" s="30" t="n">
        <v>45209</v>
      </c>
      <c r="B39" s="31" t="s">
        <v>58</v>
      </c>
      <c r="C39" s="31" t="s">
        <v>13</v>
      </c>
      <c r="D39" s="31" t="n">
        <v>6</v>
      </c>
      <c r="E39" s="31"/>
      <c r="F39" s="32" t="n">
        <v>9.49</v>
      </c>
      <c r="G39" s="33" t="s">
        <v>211</v>
      </c>
      <c r="H39" s="32"/>
      <c r="I39" s="31" t="s">
        <v>66</v>
      </c>
      <c r="J39" s="31" t="s">
        <v>236</v>
      </c>
      <c r="K39" s="31" t="s">
        <v>213</v>
      </c>
      <c r="L39" s="31" t="s">
        <v>214</v>
      </c>
      <c r="M39" s="31" t="s">
        <v>215</v>
      </c>
      <c r="N39" s="32" t="str">
        <f aca="false">_xlfn.CONCAT(G39,", ",F39)</f>
        <v>GO, 9.49</v>
      </c>
    </row>
    <row r="40" customFormat="false" ht="15.75" hidden="false" customHeight="true" outlineLevel="0" collapsed="false">
      <c r="A40" s="30" t="n">
        <v>45209</v>
      </c>
      <c r="B40" s="31" t="s">
        <v>58</v>
      </c>
      <c r="C40" s="31" t="s">
        <v>29</v>
      </c>
      <c r="D40" s="31"/>
      <c r="E40" s="31" t="s">
        <v>68</v>
      </c>
      <c r="F40" s="32" t="n">
        <v>11.81</v>
      </c>
      <c r="G40" s="33" t="s">
        <v>211</v>
      </c>
      <c r="H40" s="32"/>
      <c r="I40" s="31" t="s">
        <v>69</v>
      </c>
      <c r="J40" s="31" t="s">
        <v>237</v>
      </c>
      <c r="K40" s="31" t="s">
        <v>213</v>
      </c>
      <c r="L40" s="31" t="s">
        <v>214</v>
      </c>
      <c r="M40" s="31" t="s">
        <v>215</v>
      </c>
      <c r="N40" s="32" t="str">
        <f aca="false">_xlfn.CONCAT(G40,", ",F40)</f>
        <v>GO, 11.81</v>
      </c>
    </row>
    <row r="41" customFormat="false" ht="15.75" hidden="false" customHeight="true" outlineLevel="0" collapsed="false">
      <c r="A41" s="30" t="n">
        <v>45210</v>
      </c>
      <c r="B41" s="31" t="s">
        <v>48</v>
      </c>
      <c r="C41" s="31" t="s">
        <v>43</v>
      </c>
      <c r="D41" s="31" t="n">
        <v>3</v>
      </c>
      <c r="E41" s="31" t="s">
        <v>14</v>
      </c>
      <c r="F41" s="32" t="n">
        <v>7.96</v>
      </c>
      <c r="G41" s="33" t="s">
        <v>211</v>
      </c>
      <c r="H41" s="32"/>
      <c r="I41" s="31" t="s">
        <v>20</v>
      </c>
      <c r="J41" s="31" t="s">
        <v>238</v>
      </c>
      <c r="K41" s="31" t="s">
        <v>213</v>
      </c>
      <c r="L41" s="31" t="s">
        <v>214</v>
      </c>
      <c r="M41" s="31" t="s">
        <v>215</v>
      </c>
      <c r="N41" s="32" t="str">
        <f aca="false">_xlfn.CONCAT(G41,", ",F41)</f>
        <v>GO, 7.96</v>
      </c>
    </row>
    <row r="42" customFormat="false" ht="15.75" hidden="false" customHeight="true" outlineLevel="0" collapsed="false">
      <c r="A42" s="30" t="n">
        <v>45210</v>
      </c>
      <c r="B42" s="31" t="s">
        <v>48</v>
      </c>
      <c r="C42" s="31" t="s">
        <v>43</v>
      </c>
      <c r="D42" s="31" t="n">
        <v>19</v>
      </c>
      <c r="E42" s="31"/>
      <c r="F42" s="32" t="n">
        <v>11.08</v>
      </c>
      <c r="G42" s="33" t="s">
        <v>211</v>
      </c>
      <c r="H42" s="32"/>
      <c r="I42" s="31" t="s">
        <v>54</v>
      </c>
      <c r="J42" s="31" t="s">
        <v>238</v>
      </c>
      <c r="K42" s="31" t="s">
        <v>213</v>
      </c>
      <c r="L42" s="31" t="s">
        <v>214</v>
      </c>
      <c r="M42" s="31" t="s">
        <v>215</v>
      </c>
      <c r="N42" s="32" t="str">
        <f aca="false">_xlfn.CONCAT(G42,", ",F42)</f>
        <v>GO, 11.08</v>
      </c>
    </row>
    <row r="43" customFormat="false" ht="15.75" hidden="false" customHeight="true" outlineLevel="0" collapsed="false">
      <c r="A43" s="30" t="n">
        <v>45210</v>
      </c>
      <c r="B43" s="31" t="s">
        <v>58</v>
      </c>
      <c r="C43" s="31" t="s">
        <v>34</v>
      </c>
      <c r="D43" s="31" t="n">
        <v>2</v>
      </c>
      <c r="E43" s="31" t="s">
        <v>35</v>
      </c>
      <c r="F43" s="32" t="n">
        <v>30</v>
      </c>
      <c r="G43" s="33" t="s">
        <v>217</v>
      </c>
      <c r="H43" s="32"/>
      <c r="I43" s="31" t="s">
        <v>50</v>
      </c>
      <c r="J43" s="31" t="s">
        <v>239</v>
      </c>
      <c r="K43" s="31" t="s">
        <v>213</v>
      </c>
      <c r="L43" s="31" t="s">
        <v>214</v>
      </c>
      <c r="M43" s="31" t="s">
        <v>215</v>
      </c>
      <c r="N43" s="32" t="str">
        <f aca="false">_xlfn.CONCAT(G43,", ",F43)</f>
        <v>NOGO, 30</v>
      </c>
    </row>
    <row r="44" customFormat="false" ht="15.75" hidden="false" customHeight="true" outlineLevel="0" collapsed="false">
      <c r="A44" s="30" t="n">
        <v>45210</v>
      </c>
      <c r="B44" s="31" t="s">
        <v>58</v>
      </c>
      <c r="C44" s="31" t="s">
        <v>34</v>
      </c>
      <c r="D44" s="31" t="n">
        <v>7</v>
      </c>
      <c r="E44" s="31" t="s">
        <v>70</v>
      </c>
      <c r="F44" s="32" t="n">
        <v>9.87</v>
      </c>
      <c r="G44" s="33" t="s">
        <v>211</v>
      </c>
      <c r="H44" s="32"/>
      <c r="I44" s="31" t="s">
        <v>113</v>
      </c>
      <c r="J44" s="31" t="s">
        <v>239</v>
      </c>
      <c r="K44" s="31" t="s">
        <v>213</v>
      </c>
      <c r="L44" s="31" t="s">
        <v>214</v>
      </c>
      <c r="M44" s="31" t="s">
        <v>215</v>
      </c>
      <c r="N44" s="32" t="str">
        <f aca="false">_xlfn.CONCAT(G44,", ",F44)</f>
        <v>GO, 9.87</v>
      </c>
    </row>
    <row r="45" customFormat="false" ht="15.75" hidden="false" customHeight="true" outlineLevel="0" collapsed="false">
      <c r="A45" s="30" t="n">
        <v>45210</v>
      </c>
      <c r="B45" s="31" t="s">
        <v>58</v>
      </c>
      <c r="C45" s="31" t="s">
        <v>34</v>
      </c>
      <c r="D45" s="31" t="n">
        <v>8</v>
      </c>
      <c r="E45" s="31" t="s">
        <v>70</v>
      </c>
      <c r="F45" s="32" t="n">
        <v>8.76</v>
      </c>
      <c r="G45" s="33" t="s">
        <v>211</v>
      </c>
      <c r="H45" s="32"/>
      <c r="I45" s="31" t="s">
        <v>66</v>
      </c>
      <c r="J45" s="31" t="s">
        <v>239</v>
      </c>
      <c r="K45" s="31" t="s">
        <v>213</v>
      </c>
      <c r="L45" s="31" t="s">
        <v>214</v>
      </c>
      <c r="M45" s="31" t="s">
        <v>215</v>
      </c>
      <c r="N45" s="32" t="str">
        <f aca="false">_xlfn.CONCAT(G45,", ",F45)</f>
        <v>GO, 8.76</v>
      </c>
    </row>
    <row r="46" customFormat="false" ht="15.75" hidden="false" customHeight="true" outlineLevel="0" collapsed="false">
      <c r="A46" s="30" t="n">
        <v>45210</v>
      </c>
      <c r="B46" s="31" t="s">
        <v>58</v>
      </c>
      <c r="C46" s="31" t="s">
        <v>34</v>
      </c>
      <c r="D46" s="31" t="n">
        <v>13</v>
      </c>
      <c r="E46" s="31" t="s">
        <v>112</v>
      </c>
      <c r="F46" s="32" t="n">
        <v>12.08</v>
      </c>
      <c r="G46" s="33" t="s">
        <v>211</v>
      </c>
      <c r="H46" s="32"/>
      <c r="I46" s="31"/>
      <c r="J46" s="31" t="s">
        <v>239</v>
      </c>
      <c r="K46" s="31" t="s">
        <v>213</v>
      </c>
      <c r="L46" s="31" t="s">
        <v>214</v>
      </c>
      <c r="M46" s="31" t="s">
        <v>215</v>
      </c>
      <c r="N46" s="32" t="str">
        <f aca="false">_xlfn.CONCAT(G46,", ",F46)</f>
        <v>GO, 12.08</v>
      </c>
    </row>
    <row r="47" customFormat="false" ht="15.75" hidden="false" customHeight="true" outlineLevel="0" collapsed="false">
      <c r="A47" s="30" t="n">
        <v>45216</v>
      </c>
      <c r="B47" s="31" t="s">
        <v>73</v>
      </c>
      <c r="C47" s="31" t="s">
        <v>32</v>
      </c>
      <c r="D47" s="31" t="n">
        <v>4</v>
      </c>
      <c r="E47" s="31" t="s">
        <v>14</v>
      </c>
      <c r="F47" s="32" t="n">
        <v>10.48</v>
      </c>
      <c r="G47" s="33" t="s">
        <v>211</v>
      </c>
      <c r="H47" s="32"/>
      <c r="I47" s="31" t="s">
        <v>17</v>
      </c>
      <c r="J47" s="31" t="s">
        <v>240</v>
      </c>
      <c r="K47" s="31" t="s">
        <v>213</v>
      </c>
      <c r="L47" s="31" t="s">
        <v>214</v>
      </c>
      <c r="M47" s="31" t="s">
        <v>215</v>
      </c>
      <c r="N47" s="32" t="str">
        <f aca="false">_xlfn.CONCAT(G47,", ",F47)</f>
        <v>GO, 10.48</v>
      </c>
    </row>
    <row r="48" customFormat="false" ht="15.75" hidden="false" customHeight="true" outlineLevel="0" collapsed="false">
      <c r="A48" s="30" t="n">
        <v>45216</v>
      </c>
      <c r="B48" s="31" t="s">
        <v>73</v>
      </c>
      <c r="C48" s="31" t="s">
        <v>32</v>
      </c>
      <c r="D48" s="31" t="n">
        <v>7</v>
      </c>
      <c r="E48" s="31" t="s">
        <v>70</v>
      </c>
      <c r="F48" s="32" t="n">
        <v>30</v>
      </c>
      <c r="G48" s="33" t="s">
        <v>217</v>
      </c>
      <c r="H48" s="32"/>
      <c r="I48" s="31" t="s">
        <v>84</v>
      </c>
      <c r="J48" s="31" t="s">
        <v>240</v>
      </c>
      <c r="K48" s="31" t="s">
        <v>213</v>
      </c>
      <c r="L48" s="31" t="s">
        <v>214</v>
      </c>
      <c r="M48" s="31" t="s">
        <v>215</v>
      </c>
      <c r="N48" s="32" t="str">
        <f aca="false">_xlfn.CONCAT(G48,", ",F48)</f>
        <v>NOGO, 30</v>
      </c>
    </row>
    <row r="49" customFormat="false" ht="15.75" hidden="false" customHeight="true" outlineLevel="0" collapsed="false">
      <c r="A49" s="30" t="n">
        <v>45216</v>
      </c>
      <c r="B49" s="31" t="s">
        <v>73</v>
      </c>
      <c r="C49" s="31" t="s">
        <v>32</v>
      </c>
      <c r="D49" s="31" t="n">
        <v>14</v>
      </c>
      <c r="E49" s="31" t="s">
        <v>14</v>
      </c>
      <c r="F49" s="32" t="n">
        <v>7.89</v>
      </c>
      <c r="G49" s="33" t="s">
        <v>211</v>
      </c>
      <c r="H49" s="32"/>
      <c r="I49" s="31" t="s">
        <v>62</v>
      </c>
      <c r="J49" s="31" t="s">
        <v>240</v>
      </c>
      <c r="K49" s="31" t="s">
        <v>213</v>
      </c>
      <c r="L49" s="31" t="s">
        <v>214</v>
      </c>
      <c r="M49" s="31" t="s">
        <v>215</v>
      </c>
      <c r="N49" s="32" t="str">
        <f aca="false">_xlfn.CONCAT(G49,", ",F49)</f>
        <v>GO, 7.89</v>
      </c>
    </row>
    <row r="50" customFormat="false" ht="15.75" hidden="false" customHeight="true" outlineLevel="0" collapsed="false">
      <c r="A50" s="30" t="n">
        <v>45216</v>
      </c>
      <c r="B50" s="31" t="s">
        <v>73</v>
      </c>
      <c r="C50" s="31" t="s">
        <v>13</v>
      </c>
      <c r="D50" s="31" t="n">
        <v>1</v>
      </c>
      <c r="E50" s="31" t="s">
        <v>14</v>
      </c>
      <c r="F50" s="32" t="n">
        <v>7.36</v>
      </c>
      <c r="G50" s="33" t="s">
        <v>211</v>
      </c>
      <c r="H50" s="32"/>
      <c r="I50" s="31" t="s">
        <v>54</v>
      </c>
      <c r="J50" s="31" t="s">
        <v>241</v>
      </c>
      <c r="K50" s="31" t="s">
        <v>213</v>
      </c>
      <c r="L50" s="31" t="s">
        <v>214</v>
      </c>
      <c r="M50" s="31" t="s">
        <v>215</v>
      </c>
      <c r="N50" s="32" t="str">
        <f aca="false">_xlfn.CONCAT(G50,", ",F50)</f>
        <v>GO, 7.36</v>
      </c>
    </row>
    <row r="51" customFormat="false" ht="15.75" hidden="false" customHeight="true" outlineLevel="0" collapsed="false">
      <c r="A51" s="30" t="n">
        <v>45216</v>
      </c>
      <c r="B51" s="31" t="s">
        <v>73</v>
      </c>
      <c r="C51" s="31" t="s">
        <v>30</v>
      </c>
      <c r="D51" s="31" t="n">
        <v>2</v>
      </c>
      <c r="E51" s="31" t="s">
        <v>35</v>
      </c>
      <c r="F51" s="32" t="n">
        <v>30</v>
      </c>
      <c r="G51" s="33" t="s">
        <v>211</v>
      </c>
      <c r="H51" s="32"/>
      <c r="I51" s="31" t="s">
        <v>87</v>
      </c>
      <c r="J51" s="31" t="s">
        <v>242</v>
      </c>
      <c r="K51" s="31" t="s">
        <v>213</v>
      </c>
      <c r="L51" s="31" t="s">
        <v>214</v>
      </c>
      <c r="M51" s="31" t="s">
        <v>215</v>
      </c>
      <c r="N51" s="32" t="str">
        <f aca="false">_xlfn.CONCAT(G51,", ",F51)</f>
        <v>GO, 30</v>
      </c>
    </row>
    <row r="52" customFormat="false" ht="15.75" hidden="false" customHeight="true" outlineLevel="0" collapsed="false">
      <c r="A52" s="30" t="n">
        <v>45216</v>
      </c>
      <c r="B52" s="31" t="s">
        <v>73</v>
      </c>
      <c r="C52" s="31" t="s">
        <v>30</v>
      </c>
      <c r="D52" s="31" t="n">
        <v>10</v>
      </c>
      <c r="E52" s="31" t="s">
        <v>14</v>
      </c>
      <c r="F52" s="32" t="n">
        <v>7.84</v>
      </c>
      <c r="G52" s="33" t="s">
        <v>211</v>
      </c>
      <c r="H52" s="32"/>
      <c r="I52" s="31" t="s">
        <v>17</v>
      </c>
      <c r="J52" s="31" t="s">
        <v>242</v>
      </c>
      <c r="K52" s="31" t="s">
        <v>213</v>
      </c>
      <c r="L52" s="31" t="s">
        <v>214</v>
      </c>
      <c r="M52" s="31" t="s">
        <v>215</v>
      </c>
      <c r="N52" s="32" t="str">
        <f aca="false">_xlfn.CONCAT(G52,", ",F52)</f>
        <v>GO, 7.84</v>
      </c>
    </row>
    <row r="53" customFormat="false" ht="15.75" hidden="false" customHeight="true" outlineLevel="0" collapsed="false">
      <c r="A53" s="30" t="n">
        <v>45216</v>
      </c>
      <c r="B53" s="31" t="s">
        <v>73</v>
      </c>
      <c r="C53" s="31" t="s">
        <v>30</v>
      </c>
      <c r="D53" s="31" t="n">
        <v>11</v>
      </c>
      <c r="E53" s="31" t="s">
        <v>14</v>
      </c>
      <c r="F53" s="32" t="n">
        <v>7.65</v>
      </c>
      <c r="G53" s="33" t="s">
        <v>211</v>
      </c>
      <c r="H53" s="32"/>
      <c r="I53" s="31" t="s">
        <v>50</v>
      </c>
      <c r="J53" s="31" t="s">
        <v>242</v>
      </c>
      <c r="K53" s="31" t="s">
        <v>213</v>
      </c>
      <c r="L53" s="31" t="s">
        <v>214</v>
      </c>
      <c r="M53" s="31" t="s">
        <v>215</v>
      </c>
      <c r="N53" s="32" t="str">
        <f aca="false">_xlfn.CONCAT(G53,", ",F53)</f>
        <v>GO, 7.65</v>
      </c>
    </row>
    <row r="54" customFormat="false" ht="15.75" hidden="false" customHeight="true" outlineLevel="0" collapsed="false">
      <c r="A54" s="30" t="n">
        <v>45219</v>
      </c>
      <c r="B54" s="31" t="s">
        <v>100</v>
      </c>
      <c r="C54" s="31" t="s">
        <v>38</v>
      </c>
      <c r="D54" s="31" t="n">
        <v>8</v>
      </c>
      <c r="E54" s="31" t="s">
        <v>35</v>
      </c>
      <c r="F54" s="32" t="n">
        <v>30</v>
      </c>
      <c r="G54" s="33" t="s">
        <v>217</v>
      </c>
      <c r="H54" s="32"/>
      <c r="I54" s="31" t="s">
        <v>101</v>
      </c>
      <c r="J54" s="31" t="s">
        <v>243</v>
      </c>
      <c r="K54" s="31" t="s">
        <v>213</v>
      </c>
      <c r="L54" s="31" t="s">
        <v>214</v>
      </c>
      <c r="M54" s="31" t="s">
        <v>215</v>
      </c>
      <c r="N54" s="32" t="str">
        <f aca="false">_xlfn.CONCAT(G54,", ",F54)</f>
        <v>NOGO, 30</v>
      </c>
    </row>
    <row r="55" customFormat="false" ht="15.75" hidden="false" customHeight="true" outlineLevel="0" collapsed="false">
      <c r="A55" s="30" t="n">
        <v>45219</v>
      </c>
      <c r="B55" s="31" t="s">
        <v>244</v>
      </c>
      <c r="C55" s="31" t="s">
        <v>29</v>
      </c>
      <c r="D55" s="31" t="n">
        <v>13</v>
      </c>
      <c r="E55" s="31" t="s">
        <v>14</v>
      </c>
      <c r="F55" s="32" t="n">
        <v>11.59</v>
      </c>
      <c r="G55" s="33" t="s">
        <v>211</v>
      </c>
      <c r="H55" s="32"/>
      <c r="I55" s="31" t="s">
        <v>17</v>
      </c>
      <c r="J55" s="31" t="s">
        <v>245</v>
      </c>
      <c r="K55" s="31" t="s">
        <v>213</v>
      </c>
      <c r="L55" s="31" t="s">
        <v>214</v>
      </c>
      <c r="M55" s="31" t="s">
        <v>215</v>
      </c>
      <c r="N55" s="32" t="str">
        <f aca="false">_xlfn.CONCAT(G55,", ",F55)</f>
        <v>GO, 11.59</v>
      </c>
    </row>
    <row r="56" customFormat="false" ht="15.75" hidden="false" customHeight="true" outlineLevel="0" collapsed="false">
      <c r="A56" s="30" t="n">
        <v>45220</v>
      </c>
      <c r="B56" s="31" t="s">
        <v>103</v>
      </c>
      <c r="C56" s="31" t="s">
        <v>38</v>
      </c>
      <c r="D56" s="31" t="n">
        <v>13</v>
      </c>
      <c r="E56" s="31" t="s">
        <v>35</v>
      </c>
      <c r="F56" s="32" t="n">
        <v>30</v>
      </c>
      <c r="G56" s="33" t="s">
        <v>217</v>
      </c>
      <c r="H56" s="32"/>
      <c r="I56" s="31" t="s">
        <v>50</v>
      </c>
      <c r="J56" s="37" t="s">
        <v>246</v>
      </c>
      <c r="K56" s="31" t="s">
        <v>213</v>
      </c>
      <c r="L56" s="31" t="s">
        <v>214</v>
      </c>
      <c r="M56" s="31" t="s">
        <v>215</v>
      </c>
      <c r="N56" s="32" t="str">
        <f aca="false">_xlfn.CONCAT(G56,", ",F56)</f>
        <v>NOGO, 30</v>
      </c>
    </row>
    <row r="57" customFormat="false" ht="15.75" hidden="false" customHeight="true" outlineLevel="0" collapsed="false">
      <c r="A57" s="30" t="n">
        <v>45220</v>
      </c>
      <c r="B57" s="31" t="s">
        <v>103</v>
      </c>
      <c r="C57" s="31" t="s">
        <v>51</v>
      </c>
      <c r="D57" s="31" t="n">
        <v>8</v>
      </c>
      <c r="E57" s="31" t="s">
        <v>14</v>
      </c>
      <c r="F57" s="32" t="n">
        <v>7.24</v>
      </c>
      <c r="G57" s="33" t="s">
        <v>211</v>
      </c>
      <c r="H57" s="32"/>
      <c r="I57" s="31" t="s">
        <v>20</v>
      </c>
      <c r="J57" s="31" t="s">
        <v>247</v>
      </c>
      <c r="K57" s="31" t="s">
        <v>213</v>
      </c>
      <c r="L57" s="31" t="s">
        <v>214</v>
      </c>
      <c r="M57" s="31" t="s">
        <v>215</v>
      </c>
      <c r="N57" s="32" t="str">
        <f aca="false">_xlfn.CONCAT(G57,", ",F57)</f>
        <v>GO, 7.24</v>
      </c>
    </row>
    <row r="58" customFormat="false" ht="15.75" hidden="false" customHeight="true" outlineLevel="0" collapsed="false">
      <c r="A58" s="30" t="n">
        <v>45220</v>
      </c>
      <c r="B58" s="31" t="s">
        <v>100</v>
      </c>
      <c r="C58" s="31" t="s">
        <v>18</v>
      </c>
      <c r="D58" s="31" t="n">
        <v>3</v>
      </c>
      <c r="E58" s="31" t="s">
        <v>14</v>
      </c>
      <c r="F58" s="32" t="n">
        <v>7.97</v>
      </c>
      <c r="G58" s="33" t="s">
        <v>211</v>
      </c>
      <c r="H58" s="32"/>
      <c r="I58" s="31" t="s">
        <v>20</v>
      </c>
      <c r="J58" s="31" t="s">
        <v>248</v>
      </c>
      <c r="K58" s="31" t="s">
        <v>213</v>
      </c>
      <c r="L58" s="31" t="s">
        <v>214</v>
      </c>
      <c r="M58" s="31" t="s">
        <v>215</v>
      </c>
      <c r="N58" s="32" t="str">
        <f aca="false">_xlfn.CONCAT(G58,", ",F58)</f>
        <v>GO, 7.97</v>
      </c>
    </row>
    <row r="59" customFormat="false" ht="15.75" hidden="false" customHeight="true" outlineLevel="0" collapsed="false">
      <c r="A59" s="30" t="n">
        <v>45220</v>
      </c>
      <c r="B59" s="31" t="s">
        <v>100</v>
      </c>
      <c r="C59" s="31" t="s">
        <v>18</v>
      </c>
      <c r="D59" s="31" t="n">
        <v>13</v>
      </c>
      <c r="E59" s="31" t="s">
        <v>14</v>
      </c>
      <c r="F59" s="32" t="n">
        <v>8.48</v>
      </c>
      <c r="G59" s="33" t="s">
        <v>211</v>
      </c>
      <c r="H59" s="32"/>
      <c r="I59" s="31" t="s">
        <v>20</v>
      </c>
      <c r="J59" s="31" t="s">
        <v>248</v>
      </c>
      <c r="K59" s="31" t="s">
        <v>213</v>
      </c>
      <c r="L59" s="31" t="s">
        <v>214</v>
      </c>
      <c r="M59" s="31" t="s">
        <v>215</v>
      </c>
      <c r="N59" s="32" t="str">
        <f aca="false">_xlfn.CONCAT(G59,", ",F59)</f>
        <v>GO, 8.48</v>
      </c>
    </row>
    <row r="60" customFormat="false" ht="15.75" hidden="false" customHeight="true" outlineLevel="0" collapsed="false">
      <c r="A60" s="30" t="n">
        <v>45220</v>
      </c>
      <c r="B60" s="31" t="s">
        <v>100</v>
      </c>
      <c r="C60" s="31" t="s">
        <v>32</v>
      </c>
      <c r="D60" s="31" t="n">
        <v>1</v>
      </c>
      <c r="E60" s="31" t="s">
        <v>14</v>
      </c>
      <c r="F60" s="32" t="n">
        <v>7.7</v>
      </c>
      <c r="G60" s="33" t="s">
        <v>211</v>
      </c>
      <c r="H60" s="32"/>
      <c r="I60" s="31" t="s">
        <v>50</v>
      </c>
      <c r="J60" s="31" t="s">
        <v>249</v>
      </c>
      <c r="K60" s="31" t="s">
        <v>213</v>
      </c>
      <c r="L60" s="31" t="s">
        <v>214</v>
      </c>
      <c r="M60" s="31" t="s">
        <v>215</v>
      </c>
      <c r="N60" s="32" t="str">
        <f aca="false">_xlfn.CONCAT(G60,", ",F60)</f>
        <v>GO, 7.7</v>
      </c>
    </row>
    <row r="61" customFormat="false" ht="15.75" hidden="false" customHeight="true" outlineLevel="0" collapsed="false">
      <c r="A61" s="30" t="n">
        <v>45221</v>
      </c>
      <c r="B61" s="31" t="s">
        <v>103</v>
      </c>
      <c r="C61" s="31" t="s">
        <v>18</v>
      </c>
      <c r="D61" s="31" t="n">
        <v>2</v>
      </c>
      <c r="E61" s="31" t="s">
        <v>35</v>
      </c>
      <c r="F61" s="32" t="n">
        <v>20.3</v>
      </c>
      <c r="G61" s="33" t="s">
        <v>211</v>
      </c>
      <c r="H61" s="32"/>
      <c r="I61" s="31" t="s">
        <v>109</v>
      </c>
      <c r="J61" s="31" t="s">
        <v>250</v>
      </c>
      <c r="K61" s="31" t="s">
        <v>213</v>
      </c>
      <c r="L61" s="31" t="s">
        <v>214</v>
      </c>
      <c r="M61" s="31" t="s">
        <v>215</v>
      </c>
      <c r="N61" s="32" t="str">
        <f aca="false">_xlfn.CONCAT(G61,", ",F61)</f>
        <v>GO, 20.3</v>
      </c>
    </row>
    <row r="62" customFormat="false" ht="15.75" hidden="false" customHeight="true" outlineLevel="0" collapsed="false">
      <c r="A62" s="30" t="n">
        <v>45221</v>
      </c>
      <c r="B62" s="31" t="s">
        <v>103</v>
      </c>
      <c r="C62" s="31" t="s">
        <v>30</v>
      </c>
      <c r="D62" s="31" t="n">
        <v>5</v>
      </c>
      <c r="E62" s="31" t="s">
        <v>14</v>
      </c>
      <c r="F62" s="32" t="n">
        <v>7.1</v>
      </c>
      <c r="G62" s="33" t="s">
        <v>211</v>
      </c>
      <c r="H62" s="32"/>
      <c r="I62" s="31" t="s">
        <v>109</v>
      </c>
      <c r="J62" s="31" t="s">
        <v>251</v>
      </c>
      <c r="K62" s="31" t="s">
        <v>213</v>
      </c>
      <c r="L62" s="31" t="s">
        <v>214</v>
      </c>
      <c r="M62" s="31" t="s">
        <v>215</v>
      </c>
      <c r="N62" s="32" t="str">
        <f aca="false">_xlfn.CONCAT(G62,", ",F62)</f>
        <v>GO, 7.1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79" colorId="64" zoomScale="110" zoomScaleNormal="110" zoomScalePageLayoutView="100" workbookViewId="0">
      <selection pane="topLeft" activeCell="G88" activeCellId="0" sqref="G88"/>
    </sheetView>
  </sheetViews>
  <sheetFormatPr defaultColWidth="10.515625" defaultRowHeight="12.75" zeroHeight="false" outlineLevelRow="0" outlineLevelCol="0"/>
  <cols>
    <col collapsed="false" customWidth="true" hidden="false" outlineLevel="0" max="1" min="1" style="23" width="14.4"/>
    <col collapsed="false" customWidth="true" hidden="false" outlineLevel="0" max="4" min="2" style="23" width="11.6"/>
    <col collapsed="false" customWidth="true" hidden="false" outlineLevel="0" max="5" min="5" style="23" width="9.74"/>
    <col collapsed="false" customWidth="true" hidden="false" outlineLevel="0" max="6" min="6" style="23" width="12.53"/>
    <col collapsed="false" customWidth="true" hidden="false" outlineLevel="0" max="7" min="7" style="38" width="14.01"/>
    <col collapsed="false" customWidth="true" hidden="false" outlineLevel="0" max="8" min="8" style="23" width="12.53"/>
    <col collapsed="false" customWidth="true" hidden="false" outlineLevel="0" max="9" min="9" style="23" width="66.33"/>
    <col collapsed="false" customWidth="true" hidden="false" outlineLevel="0" max="10" min="10" style="39" width="77"/>
    <col collapsed="false" customWidth="true" hidden="false" outlineLevel="0" max="11" min="11" style="39" width="13.66"/>
    <col collapsed="false" customWidth="true" hidden="false" outlineLevel="0" max="12" min="12" style="23" width="22.83"/>
    <col collapsed="false" customWidth="true" hidden="false" outlineLevel="0" max="13" min="13" style="23" width="28"/>
    <col collapsed="false" customWidth="true" hidden="false" outlineLevel="0" max="15" min="14" style="23" width="13.66"/>
    <col collapsed="false" customWidth="false" hidden="false" outlineLevel="0" max="16384" min="16" style="23" width="10.51"/>
  </cols>
  <sheetData>
    <row r="1" customFormat="false" ht="15.75" hidden="false" customHeight="true" outlineLevel="0" collapsed="false">
      <c r="A1" s="26" t="s">
        <v>198</v>
      </c>
      <c r="B1" s="26" t="s">
        <v>199</v>
      </c>
      <c r="C1" s="26" t="s">
        <v>200</v>
      </c>
      <c r="D1" s="26" t="s">
        <v>201</v>
      </c>
      <c r="E1" s="26" t="s">
        <v>202</v>
      </c>
      <c r="F1" s="27" t="s">
        <v>203</v>
      </c>
      <c r="G1" s="28" t="s">
        <v>204</v>
      </c>
      <c r="H1" s="27" t="s">
        <v>205</v>
      </c>
      <c r="I1" s="26" t="s">
        <v>11</v>
      </c>
      <c r="J1" s="40" t="s">
        <v>206</v>
      </c>
      <c r="K1" s="40" t="s">
        <v>205</v>
      </c>
      <c r="L1" s="29" t="s">
        <v>207</v>
      </c>
      <c r="M1" s="29" t="s">
        <v>208</v>
      </c>
      <c r="N1" s="29" t="s">
        <v>209</v>
      </c>
      <c r="O1" s="29" t="s">
        <v>210</v>
      </c>
    </row>
    <row r="2" customFormat="false" ht="15.75" hidden="false" customHeight="true" outlineLevel="0" collapsed="false">
      <c r="A2" s="30" t="n">
        <v>45246</v>
      </c>
      <c r="B2" s="31" t="s">
        <v>33</v>
      </c>
      <c r="C2" s="31" t="s">
        <v>116</v>
      </c>
      <c r="D2" s="31" t="n">
        <v>18</v>
      </c>
      <c r="E2" s="31" t="s">
        <v>35</v>
      </c>
      <c r="F2" s="31" t="n">
        <v>10.93</v>
      </c>
      <c r="G2" s="41" t="s">
        <v>211</v>
      </c>
      <c r="H2" s="31"/>
      <c r="I2" s="31" t="s">
        <v>20</v>
      </c>
      <c r="J2" s="39" t="s">
        <v>252</v>
      </c>
      <c r="L2" s="31" t="s">
        <v>213</v>
      </c>
      <c r="M2" s="31" t="s">
        <v>214</v>
      </c>
      <c r="N2" s="31" t="s">
        <v>215</v>
      </c>
      <c r="O2" s="32" t="str">
        <f aca="false">CONCATENATE(G2,", ",F2)</f>
        <v>GO, 10.93</v>
      </c>
    </row>
    <row r="3" customFormat="false" ht="15.75" hidden="false" customHeight="true" outlineLevel="0" collapsed="false">
      <c r="A3" s="30" t="n">
        <v>45246</v>
      </c>
      <c r="B3" s="31" t="s">
        <v>33</v>
      </c>
      <c r="C3" s="31" t="s">
        <v>117</v>
      </c>
      <c r="D3" s="31" t="n">
        <v>10</v>
      </c>
      <c r="E3" s="31" t="s">
        <v>14</v>
      </c>
      <c r="F3" s="31" t="n">
        <v>11.81</v>
      </c>
      <c r="G3" s="41" t="s">
        <v>211</v>
      </c>
      <c r="H3" s="31"/>
      <c r="I3" s="31" t="s">
        <v>17</v>
      </c>
      <c r="J3" s="39" t="s">
        <v>253</v>
      </c>
      <c r="L3" s="31" t="s">
        <v>213</v>
      </c>
      <c r="M3" s="31" t="s">
        <v>214</v>
      </c>
      <c r="N3" s="31" t="s">
        <v>215</v>
      </c>
      <c r="O3" s="32" t="str">
        <f aca="false">CONCATENATE(G3,", ",F3)</f>
        <v>GO, 11.81</v>
      </c>
    </row>
    <row r="4" customFormat="false" ht="15.75" hidden="false" customHeight="true" outlineLevel="0" collapsed="false">
      <c r="A4" s="30" t="n">
        <v>45246</v>
      </c>
      <c r="B4" s="31" t="s">
        <v>33</v>
      </c>
      <c r="C4" s="31" t="s">
        <v>122</v>
      </c>
      <c r="D4" s="31" t="n">
        <v>2</v>
      </c>
      <c r="E4" s="31" t="s">
        <v>14</v>
      </c>
      <c r="F4" s="31" t="n">
        <v>6.24</v>
      </c>
      <c r="G4" s="41" t="s">
        <v>211</v>
      </c>
      <c r="H4" s="31"/>
      <c r="I4" s="31" t="s">
        <v>123</v>
      </c>
      <c r="J4" s="39" t="s">
        <v>254</v>
      </c>
      <c r="L4" s="31" t="s">
        <v>213</v>
      </c>
      <c r="M4" s="31" t="s">
        <v>214</v>
      </c>
      <c r="N4" s="31" t="s">
        <v>215</v>
      </c>
      <c r="O4" s="32" t="str">
        <f aca="false">CONCATENATE(G4,", ",F4)</f>
        <v>GO, 6.24</v>
      </c>
    </row>
    <row r="5" customFormat="false" ht="15.75" hidden="false" customHeight="true" outlineLevel="0" collapsed="false">
      <c r="A5" s="30" t="n">
        <v>45246</v>
      </c>
      <c r="B5" s="31" t="s">
        <v>33</v>
      </c>
      <c r="C5" s="31" t="s">
        <v>119</v>
      </c>
      <c r="D5" s="31" t="n">
        <v>1</v>
      </c>
      <c r="E5" s="31" t="s">
        <v>14</v>
      </c>
      <c r="F5" s="31" t="n">
        <v>18.08</v>
      </c>
      <c r="G5" s="41" t="s">
        <v>211</v>
      </c>
      <c r="H5" s="31"/>
      <c r="I5" s="31" t="s">
        <v>54</v>
      </c>
      <c r="J5" s="39" t="s">
        <v>255</v>
      </c>
      <c r="L5" s="31" t="s">
        <v>213</v>
      </c>
      <c r="M5" s="31" t="s">
        <v>214</v>
      </c>
      <c r="N5" s="31" t="s">
        <v>215</v>
      </c>
      <c r="O5" s="32" t="str">
        <f aca="false">CONCATENATE(G5,", ",F5)</f>
        <v>GO, 18.08</v>
      </c>
    </row>
    <row r="6" customFormat="false" ht="15.75" hidden="false" customHeight="true" outlineLevel="0" collapsed="false">
      <c r="A6" s="30" t="n">
        <v>45246</v>
      </c>
      <c r="B6" s="31" t="s">
        <v>33</v>
      </c>
      <c r="C6" s="31" t="s">
        <v>119</v>
      </c>
      <c r="D6" s="31" t="n">
        <v>9</v>
      </c>
      <c r="E6" s="31" t="s">
        <v>14</v>
      </c>
      <c r="F6" s="31" t="n">
        <v>9.29</v>
      </c>
      <c r="G6" s="41" t="s">
        <v>211</v>
      </c>
      <c r="H6" s="31"/>
      <c r="I6" s="31" t="s">
        <v>20</v>
      </c>
      <c r="J6" s="39" t="s">
        <v>255</v>
      </c>
      <c r="L6" s="31" t="s">
        <v>213</v>
      </c>
      <c r="M6" s="31" t="s">
        <v>214</v>
      </c>
      <c r="N6" s="31" t="s">
        <v>215</v>
      </c>
      <c r="O6" s="32" t="str">
        <f aca="false">CONCATENATE(G6,", ",F6)</f>
        <v>GO, 9.29</v>
      </c>
    </row>
    <row r="7" customFormat="false" ht="15.75" hidden="false" customHeight="true" outlineLevel="0" collapsed="false">
      <c r="A7" s="30" t="n">
        <v>45246</v>
      </c>
      <c r="B7" s="31" t="s">
        <v>33</v>
      </c>
      <c r="C7" s="31" t="s">
        <v>127</v>
      </c>
      <c r="D7" s="31" t="n">
        <v>1</v>
      </c>
      <c r="E7" s="31" t="s">
        <v>14</v>
      </c>
      <c r="F7" s="31" t="n">
        <v>12.82</v>
      </c>
      <c r="G7" s="41" t="s">
        <v>211</v>
      </c>
      <c r="H7" s="31"/>
      <c r="I7" s="31" t="s">
        <v>128</v>
      </c>
      <c r="J7" s="39" t="s">
        <v>256</v>
      </c>
      <c r="L7" s="31" t="s">
        <v>213</v>
      </c>
      <c r="M7" s="31" t="s">
        <v>214</v>
      </c>
      <c r="N7" s="31" t="s">
        <v>215</v>
      </c>
      <c r="O7" s="32" t="str">
        <f aca="false">CONCATENATE(G7,", ",F7)</f>
        <v>GO, 12.82</v>
      </c>
    </row>
    <row r="8" customFormat="false" ht="15.75" hidden="false" customHeight="true" outlineLevel="0" collapsed="false">
      <c r="A8" s="30" t="n">
        <v>45246</v>
      </c>
      <c r="B8" s="31" t="s">
        <v>33</v>
      </c>
      <c r="C8" s="31" t="s">
        <v>127</v>
      </c>
      <c r="D8" s="31" t="n">
        <v>2</v>
      </c>
      <c r="E8" s="31" t="s">
        <v>14</v>
      </c>
      <c r="F8" s="31" t="n">
        <v>12.45</v>
      </c>
      <c r="G8" s="41" t="s">
        <v>211</v>
      </c>
      <c r="H8" s="31"/>
      <c r="I8" s="31"/>
      <c r="J8" s="39" t="s">
        <v>256</v>
      </c>
      <c r="L8" s="31" t="s">
        <v>213</v>
      </c>
      <c r="M8" s="31" t="s">
        <v>214</v>
      </c>
      <c r="N8" s="31" t="s">
        <v>215</v>
      </c>
      <c r="O8" s="32" t="str">
        <f aca="false">CONCATENATE(G8,", ",F8)</f>
        <v>GO, 12.45</v>
      </c>
    </row>
    <row r="9" customFormat="false" ht="15.75" hidden="false" customHeight="true" outlineLevel="0" collapsed="false">
      <c r="A9" s="30" t="n">
        <v>45246</v>
      </c>
      <c r="B9" s="31" t="s">
        <v>33</v>
      </c>
      <c r="C9" s="31" t="s">
        <v>127</v>
      </c>
      <c r="D9" s="31" t="n">
        <v>3</v>
      </c>
      <c r="E9" s="31" t="s">
        <v>14</v>
      </c>
      <c r="F9" s="31" t="n">
        <v>11.97</v>
      </c>
      <c r="G9" s="41" t="s">
        <v>211</v>
      </c>
      <c r="H9" s="31"/>
      <c r="I9" s="31"/>
      <c r="J9" s="39" t="s">
        <v>256</v>
      </c>
      <c r="L9" s="31" t="s">
        <v>213</v>
      </c>
      <c r="M9" s="31" t="s">
        <v>214</v>
      </c>
      <c r="N9" s="31" t="s">
        <v>215</v>
      </c>
      <c r="O9" s="32" t="str">
        <f aca="false">CONCATENATE(G9,", ",F9)</f>
        <v>GO, 11.97</v>
      </c>
    </row>
    <row r="10" customFormat="false" ht="15.75" hidden="false" customHeight="true" outlineLevel="0" collapsed="false">
      <c r="A10" s="30" t="n">
        <v>45246</v>
      </c>
      <c r="B10" s="31" t="s">
        <v>33</v>
      </c>
      <c r="C10" s="31" t="s">
        <v>127</v>
      </c>
      <c r="D10" s="31" t="n">
        <v>4</v>
      </c>
      <c r="E10" s="31" t="s">
        <v>14</v>
      </c>
      <c r="F10" s="31" t="n">
        <v>26.66</v>
      </c>
      <c r="G10" s="41" t="s">
        <v>211</v>
      </c>
      <c r="H10" s="31"/>
      <c r="I10" s="31"/>
      <c r="J10" s="39" t="s">
        <v>256</v>
      </c>
      <c r="L10" s="31" t="s">
        <v>213</v>
      </c>
      <c r="M10" s="31" t="s">
        <v>214</v>
      </c>
      <c r="N10" s="31" t="s">
        <v>215</v>
      </c>
      <c r="O10" s="32" t="str">
        <f aca="false">CONCATENATE(G10,", ",F10)</f>
        <v>GO, 26.66</v>
      </c>
    </row>
    <row r="11" customFormat="false" ht="15.75" hidden="false" customHeight="true" outlineLevel="0" collapsed="false">
      <c r="A11" s="30" t="n">
        <v>45246</v>
      </c>
      <c r="B11" s="31" t="s">
        <v>33</v>
      </c>
      <c r="C11" s="31" t="s">
        <v>127</v>
      </c>
      <c r="D11" s="31" t="n">
        <v>5</v>
      </c>
      <c r="E11" s="31" t="s">
        <v>14</v>
      </c>
      <c r="F11" s="31" t="n">
        <v>12.27</v>
      </c>
      <c r="G11" s="41" t="s">
        <v>211</v>
      </c>
      <c r="H11" s="31"/>
      <c r="I11" s="31"/>
      <c r="J11" s="39" t="s">
        <v>256</v>
      </c>
      <c r="L11" s="31" t="s">
        <v>213</v>
      </c>
      <c r="M11" s="31" t="s">
        <v>214</v>
      </c>
      <c r="N11" s="31" t="s">
        <v>215</v>
      </c>
      <c r="O11" s="32" t="str">
        <f aca="false">CONCATENATE(G11,", ",F11)</f>
        <v>GO, 12.27</v>
      </c>
    </row>
    <row r="12" customFormat="false" ht="15.75" hidden="false" customHeight="true" outlineLevel="0" collapsed="false">
      <c r="A12" s="30" t="n">
        <v>45246</v>
      </c>
      <c r="B12" s="31" t="s">
        <v>33</v>
      </c>
      <c r="C12" s="31" t="s">
        <v>127</v>
      </c>
      <c r="D12" s="31" t="n">
        <v>6</v>
      </c>
      <c r="E12" s="31" t="s">
        <v>14</v>
      </c>
      <c r="F12" s="31" t="n">
        <v>30</v>
      </c>
      <c r="G12" s="41" t="s">
        <v>217</v>
      </c>
      <c r="H12" s="31"/>
      <c r="I12" s="31"/>
      <c r="J12" s="39" t="s">
        <v>256</v>
      </c>
      <c r="L12" s="31" t="s">
        <v>213</v>
      </c>
      <c r="M12" s="31" t="s">
        <v>214</v>
      </c>
      <c r="N12" s="31" t="s">
        <v>215</v>
      </c>
      <c r="O12" s="32" t="str">
        <f aca="false">CONCATENATE(G12,", ",F12)</f>
        <v>NOGO, 30</v>
      </c>
    </row>
    <row r="13" customFormat="false" ht="15.75" hidden="false" customHeight="true" outlineLevel="0" collapsed="false">
      <c r="A13" s="30" t="n">
        <v>45246</v>
      </c>
      <c r="B13" s="31" t="s">
        <v>33</v>
      </c>
      <c r="C13" s="31" t="s">
        <v>127</v>
      </c>
      <c r="D13" s="31" t="n">
        <v>7</v>
      </c>
      <c r="E13" s="31" t="s">
        <v>14</v>
      </c>
      <c r="F13" s="31" t="n">
        <v>11.52</v>
      </c>
      <c r="G13" s="41" t="s">
        <v>211</v>
      </c>
      <c r="H13" s="31"/>
      <c r="I13" s="31"/>
      <c r="J13" s="39" t="s">
        <v>256</v>
      </c>
      <c r="L13" s="31" t="s">
        <v>213</v>
      </c>
      <c r="M13" s="31" t="s">
        <v>214</v>
      </c>
      <c r="N13" s="31" t="s">
        <v>215</v>
      </c>
      <c r="O13" s="32" t="str">
        <f aca="false">CONCATENATE(G13,", ",F13)</f>
        <v>GO, 11.52</v>
      </c>
    </row>
    <row r="14" customFormat="false" ht="15.75" hidden="false" customHeight="true" outlineLevel="0" collapsed="false">
      <c r="A14" s="30" t="n">
        <v>45246</v>
      </c>
      <c r="B14" s="31" t="s">
        <v>33</v>
      </c>
      <c r="C14" s="31" t="s">
        <v>127</v>
      </c>
      <c r="D14" s="31" t="n">
        <v>8</v>
      </c>
      <c r="E14" s="31" t="s">
        <v>14</v>
      </c>
      <c r="F14" s="31" t="n">
        <v>12.93</v>
      </c>
      <c r="G14" s="41" t="s">
        <v>211</v>
      </c>
      <c r="H14" s="31"/>
      <c r="I14" s="31"/>
      <c r="J14" s="39" t="s">
        <v>256</v>
      </c>
      <c r="L14" s="31" t="s">
        <v>213</v>
      </c>
      <c r="M14" s="31" t="s">
        <v>214</v>
      </c>
      <c r="N14" s="31" t="s">
        <v>215</v>
      </c>
      <c r="O14" s="32" t="str">
        <f aca="false">CONCATENATE(G14,", ",F14)</f>
        <v>GO, 12.93</v>
      </c>
    </row>
    <row r="15" customFormat="false" ht="15.75" hidden="false" customHeight="true" outlineLevel="0" collapsed="false">
      <c r="A15" s="30" t="n">
        <v>45246</v>
      </c>
      <c r="B15" s="31" t="s">
        <v>33</v>
      </c>
      <c r="C15" s="31" t="s">
        <v>127</v>
      </c>
      <c r="D15" s="31" t="n">
        <v>9</v>
      </c>
      <c r="E15" s="31" t="s">
        <v>14</v>
      </c>
      <c r="F15" s="31" t="n">
        <v>11.6</v>
      </c>
      <c r="G15" s="41" t="s">
        <v>211</v>
      </c>
      <c r="H15" s="31"/>
      <c r="I15" s="31"/>
      <c r="J15" s="39" t="s">
        <v>256</v>
      </c>
      <c r="L15" s="31" t="s">
        <v>213</v>
      </c>
      <c r="M15" s="31" t="s">
        <v>214</v>
      </c>
      <c r="N15" s="31" t="s">
        <v>215</v>
      </c>
      <c r="O15" s="32" t="str">
        <f aca="false">CONCATENATE(G15,", ",F15)</f>
        <v>GO, 11.6</v>
      </c>
    </row>
    <row r="16" customFormat="false" ht="15.75" hidden="false" customHeight="true" outlineLevel="0" collapsed="false">
      <c r="A16" s="30" t="n">
        <v>45246</v>
      </c>
      <c r="B16" s="31" t="s">
        <v>33</v>
      </c>
      <c r="C16" s="31" t="s">
        <v>127</v>
      </c>
      <c r="D16" s="31" t="n">
        <v>10</v>
      </c>
      <c r="E16" s="31" t="s">
        <v>14</v>
      </c>
      <c r="F16" s="31" t="n">
        <v>13.14</v>
      </c>
      <c r="G16" s="41" t="s">
        <v>211</v>
      </c>
      <c r="H16" s="31"/>
      <c r="I16" s="31"/>
      <c r="J16" s="39" t="s">
        <v>256</v>
      </c>
      <c r="L16" s="31" t="s">
        <v>213</v>
      </c>
      <c r="M16" s="31" t="s">
        <v>214</v>
      </c>
      <c r="N16" s="31" t="s">
        <v>215</v>
      </c>
      <c r="O16" s="32" t="str">
        <f aca="false">CONCATENATE(G16,", ",F16)</f>
        <v>GO, 13.14</v>
      </c>
    </row>
    <row r="17" customFormat="false" ht="15.75" hidden="false" customHeight="true" outlineLevel="0" collapsed="false">
      <c r="A17" s="30" t="n">
        <v>45246</v>
      </c>
      <c r="B17" s="31" t="s">
        <v>33</v>
      </c>
      <c r="C17" s="31" t="s">
        <v>127</v>
      </c>
      <c r="D17" s="31" t="n">
        <v>11</v>
      </c>
      <c r="E17" s="31" t="s">
        <v>257</v>
      </c>
      <c r="F17" s="31" t="n">
        <v>30</v>
      </c>
      <c r="G17" s="41" t="s">
        <v>217</v>
      </c>
      <c r="H17" s="31"/>
      <c r="I17" s="31"/>
      <c r="J17" s="39" t="s">
        <v>256</v>
      </c>
      <c r="L17" s="31" t="s">
        <v>213</v>
      </c>
      <c r="M17" s="31" t="s">
        <v>214</v>
      </c>
      <c r="N17" s="31" t="s">
        <v>215</v>
      </c>
      <c r="O17" s="32" t="str">
        <f aca="false">CONCATENATE(G17,", ",F17)</f>
        <v>NOGO, 30</v>
      </c>
    </row>
    <row r="18" customFormat="false" ht="15.75" hidden="false" customHeight="true" outlineLevel="0" collapsed="false">
      <c r="A18" s="30" t="n">
        <v>45246</v>
      </c>
      <c r="B18" s="31" t="s">
        <v>33</v>
      </c>
      <c r="C18" s="31" t="s">
        <v>127</v>
      </c>
      <c r="D18" s="31" t="n">
        <v>12</v>
      </c>
      <c r="E18" s="31" t="s">
        <v>257</v>
      </c>
      <c r="F18" s="31" t="n">
        <v>30</v>
      </c>
      <c r="G18" s="41" t="s">
        <v>217</v>
      </c>
      <c r="H18" s="31"/>
      <c r="I18" s="31"/>
      <c r="J18" s="39" t="s">
        <v>256</v>
      </c>
      <c r="L18" s="31" t="s">
        <v>213</v>
      </c>
      <c r="M18" s="31" t="s">
        <v>214</v>
      </c>
      <c r="N18" s="31" t="s">
        <v>215</v>
      </c>
      <c r="O18" s="32" t="str">
        <f aca="false">CONCATENATE(G18,", ",F18)</f>
        <v>NOGO, 30</v>
      </c>
    </row>
    <row r="19" customFormat="false" ht="15.75" hidden="false" customHeight="true" outlineLevel="0" collapsed="false">
      <c r="A19" s="30" t="n">
        <v>45246</v>
      </c>
      <c r="B19" s="31" t="s">
        <v>33</v>
      </c>
      <c r="C19" s="31" t="s">
        <v>127</v>
      </c>
      <c r="D19" s="31" t="n">
        <v>13</v>
      </c>
      <c r="E19" s="31" t="s">
        <v>257</v>
      </c>
      <c r="F19" s="31" t="n">
        <v>30</v>
      </c>
      <c r="G19" s="41" t="s">
        <v>217</v>
      </c>
      <c r="H19" s="31"/>
      <c r="I19" s="31"/>
      <c r="J19" s="39" t="s">
        <v>256</v>
      </c>
      <c r="L19" s="31" t="s">
        <v>213</v>
      </c>
      <c r="M19" s="31" t="s">
        <v>214</v>
      </c>
      <c r="N19" s="31" t="s">
        <v>215</v>
      </c>
      <c r="O19" s="32" t="str">
        <f aca="false">CONCATENATE(G19,", ",F19)</f>
        <v>NOGO, 30</v>
      </c>
    </row>
    <row r="20" customFormat="false" ht="15.75" hidden="false" customHeight="true" outlineLevel="0" collapsed="false">
      <c r="A20" s="30" t="n">
        <v>45246</v>
      </c>
      <c r="B20" s="31" t="s">
        <v>33</v>
      </c>
      <c r="C20" s="31" t="s">
        <v>127</v>
      </c>
      <c r="D20" s="31" t="n">
        <v>14</v>
      </c>
      <c r="E20" s="31" t="s">
        <v>257</v>
      </c>
      <c r="F20" s="31" t="n">
        <v>30</v>
      </c>
      <c r="G20" s="41" t="s">
        <v>217</v>
      </c>
      <c r="H20" s="31"/>
      <c r="I20" s="31"/>
      <c r="J20" s="39" t="s">
        <v>256</v>
      </c>
      <c r="L20" s="31" t="s">
        <v>213</v>
      </c>
      <c r="M20" s="31" t="s">
        <v>214</v>
      </c>
      <c r="N20" s="31" t="s">
        <v>215</v>
      </c>
      <c r="O20" s="32" t="str">
        <f aca="false">CONCATENATE(G20,", ",F20)</f>
        <v>NOGO, 30</v>
      </c>
    </row>
    <row r="21" customFormat="false" ht="15.75" hidden="false" customHeight="true" outlineLevel="0" collapsed="false">
      <c r="A21" s="30" t="n">
        <v>45246</v>
      </c>
      <c r="B21" s="31" t="s">
        <v>33</v>
      </c>
      <c r="C21" s="31" t="s">
        <v>127</v>
      </c>
      <c r="D21" s="31" t="n">
        <v>15</v>
      </c>
      <c r="E21" s="31" t="s">
        <v>257</v>
      </c>
      <c r="F21" s="31" t="n">
        <v>30</v>
      </c>
      <c r="G21" s="41" t="s">
        <v>217</v>
      </c>
      <c r="H21" s="31"/>
      <c r="I21" s="31"/>
      <c r="J21" s="39" t="s">
        <v>256</v>
      </c>
      <c r="L21" s="31" t="s">
        <v>213</v>
      </c>
      <c r="M21" s="31" t="s">
        <v>214</v>
      </c>
      <c r="N21" s="31" t="s">
        <v>215</v>
      </c>
      <c r="O21" s="32" t="str">
        <f aca="false">CONCATENATE(G21,", ",F21)</f>
        <v>NOGO, 30</v>
      </c>
    </row>
    <row r="22" customFormat="false" ht="15.75" hidden="false" customHeight="true" outlineLevel="0" collapsed="false">
      <c r="A22" s="30" t="n">
        <v>45246</v>
      </c>
      <c r="B22" s="31" t="s">
        <v>33</v>
      </c>
      <c r="C22" s="31" t="s">
        <v>127</v>
      </c>
      <c r="D22" s="31" t="n">
        <v>16</v>
      </c>
      <c r="E22" s="31" t="s">
        <v>257</v>
      </c>
      <c r="F22" s="31" t="n">
        <v>30</v>
      </c>
      <c r="G22" s="41" t="s">
        <v>217</v>
      </c>
      <c r="H22" s="31"/>
      <c r="I22" s="31"/>
      <c r="J22" s="39" t="s">
        <v>256</v>
      </c>
      <c r="L22" s="31" t="s">
        <v>213</v>
      </c>
      <c r="M22" s="31" t="s">
        <v>214</v>
      </c>
      <c r="N22" s="31" t="s">
        <v>215</v>
      </c>
      <c r="O22" s="32" t="str">
        <f aca="false">CONCATENATE(G22,", ",F22)</f>
        <v>NOGO, 30</v>
      </c>
    </row>
    <row r="23" customFormat="false" ht="15.75" hidden="false" customHeight="true" outlineLevel="0" collapsed="false">
      <c r="A23" s="30" t="n">
        <v>45246</v>
      </c>
      <c r="B23" s="31" t="s">
        <v>33</v>
      </c>
      <c r="C23" s="31" t="s">
        <v>127</v>
      </c>
      <c r="D23" s="31" t="n">
        <v>17</v>
      </c>
      <c r="E23" s="31" t="s">
        <v>257</v>
      </c>
      <c r="F23" s="31" t="n">
        <v>30</v>
      </c>
      <c r="G23" s="41" t="s">
        <v>217</v>
      </c>
      <c r="H23" s="31"/>
      <c r="I23" s="31"/>
      <c r="J23" s="39" t="s">
        <v>256</v>
      </c>
      <c r="L23" s="31" t="s">
        <v>213</v>
      </c>
      <c r="M23" s="31" t="s">
        <v>214</v>
      </c>
      <c r="N23" s="31" t="s">
        <v>215</v>
      </c>
      <c r="O23" s="32" t="str">
        <f aca="false">CONCATENATE(G23,", ",F23)</f>
        <v>NOGO, 30</v>
      </c>
    </row>
    <row r="24" customFormat="false" ht="15.75" hidden="false" customHeight="true" outlineLevel="0" collapsed="false">
      <c r="A24" s="30" t="n">
        <v>45246</v>
      </c>
      <c r="B24" s="31" t="s">
        <v>33</v>
      </c>
      <c r="C24" s="31" t="s">
        <v>127</v>
      </c>
      <c r="D24" s="31" t="n">
        <v>18</v>
      </c>
      <c r="E24" s="31" t="s">
        <v>257</v>
      </c>
      <c r="F24" s="31" t="n">
        <v>30</v>
      </c>
      <c r="G24" s="41" t="s">
        <v>217</v>
      </c>
      <c r="H24" s="31"/>
      <c r="I24" s="31"/>
      <c r="J24" s="39" t="s">
        <v>256</v>
      </c>
      <c r="L24" s="31" t="s">
        <v>213</v>
      </c>
      <c r="M24" s="31" t="s">
        <v>214</v>
      </c>
      <c r="N24" s="31" t="s">
        <v>215</v>
      </c>
      <c r="O24" s="32" t="str">
        <f aca="false">CONCATENATE(G24,", ",F24)</f>
        <v>NOGO, 30</v>
      </c>
    </row>
    <row r="25" customFormat="false" ht="15.75" hidden="false" customHeight="true" outlineLevel="0" collapsed="false">
      <c r="A25" s="30" t="n">
        <v>45246</v>
      </c>
      <c r="B25" s="31" t="s">
        <v>33</v>
      </c>
      <c r="C25" s="31" t="s">
        <v>127</v>
      </c>
      <c r="D25" s="31" t="n">
        <v>19</v>
      </c>
      <c r="E25" s="31" t="s">
        <v>257</v>
      </c>
      <c r="F25" s="31" t="n">
        <v>30</v>
      </c>
      <c r="G25" s="41" t="s">
        <v>217</v>
      </c>
      <c r="H25" s="31"/>
      <c r="I25" s="31"/>
      <c r="J25" s="39" t="s">
        <v>256</v>
      </c>
      <c r="L25" s="31" t="s">
        <v>213</v>
      </c>
      <c r="M25" s="31" t="s">
        <v>214</v>
      </c>
      <c r="N25" s="31" t="s">
        <v>215</v>
      </c>
      <c r="O25" s="32" t="str">
        <f aca="false">CONCATENATE(G25,", ",F25)</f>
        <v>NOGO, 30</v>
      </c>
    </row>
    <row r="26" customFormat="false" ht="15.75" hidden="false" customHeight="true" outlineLevel="0" collapsed="false">
      <c r="A26" s="30" t="n">
        <v>45246</v>
      </c>
      <c r="B26" s="31" t="s">
        <v>33</v>
      </c>
      <c r="C26" s="31" t="s">
        <v>127</v>
      </c>
      <c r="D26" s="31" t="n">
        <v>20</v>
      </c>
      <c r="E26" s="31" t="s">
        <v>257</v>
      </c>
      <c r="F26" s="31" t="n">
        <v>30</v>
      </c>
      <c r="G26" s="41" t="s">
        <v>217</v>
      </c>
      <c r="H26" s="31"/>
      <c r="I26" s="31"/>
      <c r="J26" s="39" t="s">
        <v>256</v>
      </c>
      <c r="L26" s="31" t="s">
        <v>213</v>
      </c>
      <c r="M26" s="31" t="s">
        <v>214</v>
      </c>
      <c r="N26" s="31" t="s">
        <v>215</v>
      </c>
      <c r="O26" s="32" t="str">
        <f aca="false">CONCATENATE(G26,", ",F26)</f>
        <v>NOGO, 30</v>
      </c>
    </row>
    <row r="27" customFormat="false" ht="15.75" hidden="false" customHeight="true" outlineLevel="0" collapsed="false">
      <c r="A27" s="30" t="n">
        <v>45247</v>
      </c>
      <c r="B27" s="31" t="s">
        <v>48</v>
      </c>
      <c r="C27" s="31" t="s">
        <v>130</v>
      </c>
      <c r="D27" s="31" t="n">
        <v>12</v>
      </c>
      <c r="E27" s="31" t="s">
        <v>35</v>
      </c>
      <c r="F27" s="31" t="n">
        <v>30</v>
      </c>
      <c r="G27" s="41" t="s">
        <v>217</v>
      </c>
      <c r="H27" s="31"/>
      <c r="I27" s="31" t="s">
        <v>258</v>
      </c>
      <c r="J27" s="39" t="s">
        <v>259</v>
      </c>
      <c r="L27" s="31" t="s">
        <v>213</v>
      </c>
      <c r="M27" s="31" t="s">
        <v>214</v>
      </c>
      <c r="N27" s="31" t="s">
        <v>215</v>
      </c>
      <c r="O27" s="32" t="str">
        <f aca="false">CONCATENATE(G27,", ",F27)</f>
        <v>NOGO, 30</v>
      </c>
    </row>
    <row r="28" customFormat="false" ht="15.75" hidden="false" customHeight="true" outlineLevel="0" collapsed="false">
      <c r="A28" s="30" t="n">
        <v>45247</v>
      </c>
      <c r="B28" s="31" t="s">
        <v>48</v>
      </c>
      <c r="C28" s="31" t="s">
        <v>122</v>
      </c>
      <c r="D28" s="31" t="n">
        <v>2</v>
      </c>
      <c r="E28" s="31" t="s">
        <v>35</v>
      </c>
      <c r="F28" s="31" t="n">
        <v>28.2</v>
      </c>
      <c r="G28" s="41" t="s">
        <v>211</v>
      </c>
      <c r="H28" s="31"/>
      <c r="I28" s="31" t="s">
        <v>132</v>
      </c>
      <c r="J28" s="39" t="s">
        <v>260</v>
      </c>
      <c r="L28" s="31" t="s">
        <v>213</v>
      </c>
      <c r="M28" s="31" t="s">
        <v>214</v>
      </c>
      <c r="N28" s="31" t="s">
        <v>215</v>
      </c>
      <c r="O28" s="32" t="str">
        <f aca="false">CONCATENATE(G28,", ",F28)</f>
        <v>GO, 28.2</v>
      </c>
    </row>
    <row r="29" customFormat="false" ht="15.75" hidden="false" customHeight="true" outlineLevel="0" collapsed="false">
      <c r="A29" s="30" t="n">
        <v>45247</v>
      </c>
      <c r="B29" s="31" t="s">
        <v>48</v>
      </c>
      <c r="C29" s="31" t="s">
        <v>119</v>
      </c>
      <c r="D29" s="31" t="n">
        <v>10</v>
      </c>
      <c r="E29" s="31" t="s">
        <v>35</v>
      </c>
      <c r="F29" s="31" t="n">
        <v>30</v>
      </c>
      <c r="G29" s="41" t="s">
        <v>217</v>
      </c>
      <c r="H29" s="31"/>
      <c r="I29" s="31"/>
      <c r="J29" s="39" t="s">
        <v>261</v>
      </c>
      <c r="L29" s="31" t="s">
        <v>213</v>
      </c>
      <c r="M29" s="31" t="s">
        <v>214</v>
      </c>
      <c r="N29" s="31" t="s">
        <v>215</v>
      </c>
      <c r="O29" s="32" t="str">
        <f aca="false">CONCATENATE(G29,", ",F29)</f>
        <v>NOGO, 30</v>
      </c>
    </row>
    <row r="30" customFormat="false" ht="15.75" hidden="false" customHeight="true" outlineLevel="0" collapsed="false">
      <c r="A30" s="30" t="n">
        <v>45247</v>
      </c>
      <c r="B30" s="31" t="s">
        <v>48</v>
      </c>
      <c r="C30" s="31" t="s">
        <v>119</v>
      </c>
      <c r="D30" s="31" t="n">
        <v>11</v>
      </c>
      <c r="E30" s="31" t="s">
        <v>14</v>
      </c>
      <c r="F30" s="31" t="n">
        <v>10.07</v>
      </c>
      <c r="G30" s="41" t="s">
        <v>211</v>
      </c>
      <c r="H30" s="31"/>
      <c r="I30" s="31"/>
      <c r="J30" s="39" t="s">
        <v>261</v>
      </c>
      <c r="L30" s="31" t="s">
        <v>213</v>
      </c>
      <c r="M30" s="31" t="s">
        <v>214</v>
      </c>
      <c r="N30" s="31" t="s">
        <v>215</v>
      </c>
      <c r="O30" s="32" t="str">
        <f aca="false">CONCATENATE(G30,", ",F30)</f>
        <v>GO, 10.07</v>
      </c>
    </row>
    <row r="31" customFormat="false" ht="15.75" hidden="false" customHeight="true" outlineLevel="0" collapsed="false">
      <c r="A31" s="30" t="n">
        <v>45247</v>
      </c>
      <c r="B31" s="31" t="s">
        <v>48</v>
      </c>
      <c r="C31" s="31" t="s">
        <v>119</v>
      </c>
      <c r="D31" s="31" t="n">
        <v>12</v>
      </c>
      <c r="E31" s="31" t="s">
        <v>35</v>
      </c>
      <c r="F31" s="31" t="n">
        <v>13.74</v>
      </c>
      <c r="G31" s="41" t="s">
        <v>211</v>
      </c>
      <c r="H31" s="31"/>
      <c r="I31" s="31"/>
      <c r="J31" s="39" t="s">
        <v>261</v>
      </c>
      <c r="L31" s="31" t="s">
        <v>213</v>
      </c>
      <c r="M31" s="31" t="s">
        <v>214</v>
      </c>
      <c r="N31" s="31" t="s">
        <v>215</v>
      </c>
      <c r="O31" s="32" t="str">
        <f aca="false">CONCATENATE(G31,", ",F31)</f>
        <v>GO, 13.74</v>
      </c>
    </row>
    <row r="32" customFormat="false" ht="15.75" hidden="false" customHeight="true" outlineLevel="0" collapsed="false">
      <c r="A32" s="30" t="n">
        <v>45247</v>
      </c>
      <c r="B32" s="31" t="s">
        <v>48</v>
      </c>
      <c r="C32" s="31" t="s">
        <v>119</v>
      </c>
      <c r="D32" s="31" t="n">
        <v>13</v>
      </c>
      <c r="E32" s="31" t="s">
        <v>35</v>
      </c>
      <c r="F32" s="31" t="n">
        <v>30</v>
      </c>
      <c r="G32" s="41" t="s">
        <v>217</v>
      </c>
      <c r="H32" s="31"/>
      <c r="I32" s="31"/>
      <c r="J32" s="39" t="s">
        <v>261</v>
      </c>
      <c r="L32" s="31" t="s">
        <v>213</v>
      </c>
      <c r="M32" s="31" t="s">
        <v>214</v>
      </c>
      <c r="N32" s="31" t="s">
        <v>215</v>
      </c>
      <c r="O32" s="32" t="str">
        <f aca="false">CONCATENATE(G32,", ",F32)</f>
        <v>NOGO, 30</v>
      </c>
    </row>
    <row r="33" customFormat="false" ht="15.75" hidden="false" customHeight="true" outlineLevel="0" collapsed="false">
      <c r="A33" s="30" t="n">
        <v>45247</v>
      </c>
      <c r="B33" s="31" t="s">
        <v>48</v>
      </c>
      <c r="C33" s="31" t="s">
        <v>119</v>
      </c>
      <c r="D33" s="31" t="n">
        <v>14</v>
      </c>
      <c r="E33" s="31" t="s">
        <v>14</v>
      </c>
      <c r="F33" s="31" t="n">
        <v>10.08</v>
      </c>
      <c r="G33" s="41" t="s">
        <v>211</v>
      </c>
      <c r="H33" s="31"/>
      <c r="I33" s="31"/>
      <c r="J33" s="39" t="s">
        <v>261</v>
      </c>
      <c r="L33" s="31" t="s">
        <v>213</v>
      </c>
      <c r="M33" s="31" t="s">
        <v>214</v>
      </c>
      <c r="N33" s="31" t="s">
        <v>215</v>
      </c>
      <c r="O33" s="32" t="str">
        <f aca="false">CONCATENATE(G33,", ",F33)</f>
        <v>GO, 10.08</v>
      </c>
    </row>
    <row r="34" customFormat="false" ht="15.75" hidden="false" customHeight="true" outlineLevel="0" collapsed="false">
      <c r="A34" s="30" t="n">
        <v>45247</v>
      </c>
      <c r="B34" s="31" t="s">
        <v>48</v>
      </c>
      <c r="C34" s="31" t="s">
        <v>119</v>
      </c>
      <c r="D34" s="31" t="n">
        <v>15</v>
      </c>
      <c r="E34" s="31" t="s">
        <v>35</v>
      </c>
      <c r="F34" s="31" t="n">
        <v>30</v>
      </c>
      <c r="G34" s="41" t="s">
        <v>217</v>
      </c>
      <c r="H34" s="31"/>
      <c r="I34" s="31"/>
      <c r="J34" s="39" t="s">
        <v>261</v>
      </c>
      <c r="L34" s="31" t="s">
        <v>213</v>
      </c>
      <c r="M34" s="31" t="s">
        <v>214</v>
      </c>
      <c r="N34" s="31" t="s">
        <v>215</v>
      </c>
      <c r="O34" s="32" t="str">
        <f aca="false">CONCATENATE(G34,", ",F34)</f>
        <v>NOGO, 30</v>
      </c>
    </row>
    <row r="35" customFormat="false" ht="15.75" hidden="false" customHeight="true" outlineLevel="0" collapsed="false">
      <c r="A35" s="30" t="n">
        <v>45247</v>
      </c>
      <c r="B35" s="31" t="s">
        <v>48</v>
      </c>
      <c r="C35" s="31" t="s">
        <v>119</v>
      </c>
      <c r="D35" s="31" t="n">
        <v>16</v>
      </c>
      <c r="E35" s="31" t="s">
        <v>14</v>
      </c>
      <c r="F35" s="31" t="n">
        <v>10.46</v>
      </c>
      <c r="G35" s="41" t="s">
        <v>211</v>
      </c>
      <c r="H35" s="31"/>
      <c r="I35" s="31"/>
      <c r="J35" s="39" t="s">
        <v>261</v>
      </c>
      <c r="L35" s="31" t="s">
        <v>213</v>
      </c>
      <c r="M35" s="31" t="s">
        <v>214</v>
      </c>
      <c r="N35" s="31" t="s">
        <v>215</v>
      </c>
      <c r="O35" s="32" t="str">
        <f aca="false">CONCATENATE(G35,", ",F35)</f>
        <v>GO, 10.46</v>
      </c>
    </row>
    <row r="36" customFormat="false" ht="15.75" hidden="false" customHeight="true" outlineLevel="0" collapsed="false">
      <c r="A36" s="30" t="n">
        <v>45247</v>
      </c>
      <c r="B36" s="31" t="s">
        <v>48</v>
      </c>
      <c r="C36" s="31" t="s">
        <v>119</v>
      </c>
      <c r="D36" s="31" t="n">
        <v>17</v>
      </c>
      <c r="E36" s="31" t="s">
        <v>14</v>
      </c>
      <c r="F36" s="31" t="n">
        <v>11.93</v>
      </c>
      <c r="G36" s="41" t="s">
        <v>211</v>
      </c>
      <c r="H36" s="31"/>
      <c r="I36" s="31"/>
      <c r="J36" s="39" t="s">
        <v>261</v>
      </c>
      <c r="L36" s="31" t="s">
        <v>213</v>
      </c>
      <c r="M36" s="31" t="s">
        <v>214</v>
      </c>
      <c r="N36" s="31" t="s">
        <v>215</v>
      </c>
      <c r="O36" s="32" t="str">
        <f aca="false">CONCATENATE(G36,", ",F36)</f>
        <v>GO, 11.93</v>
      </c>
    </row>
    <row r="37" customFormat="false" ht="15.75" hidden="false" customHeight="true" outlineLevel="0" collapsed="false">
      <c r="A37" s="30" t="n">
        <v>45247</v>
      </c>
      <c r="B37" s="31" t="s">
        <v>48</v>
      </c>
      <c r="C37" s="31" t="s">
        <v>119</v>
      </c>
      <c r="D37" s="31" t="n">
        <v>18</v>
      </c>
      <c r="E37" s="31" t="s">
        <v>35</v>
      </c>
      <c r="F37" s="31" t="n">
        <v>11.33</v>
      </c>
      <c r="G37" s="41" t="s">
        <v>211</v>
      </c>
      <c r="H37" s="31"/>
      <c r="I37" s="31"/>
      <c r="J37" s="39" t="s">
        <v>261</v>
      </c>
      <c r="L37" s="31" t="s">
        <v>213</v>
      </c>
      <c r="M37" s="31" t="s">
        <v>214</v>
      </c>
      <c r="N37" s="31" t="s">
        <v>215</v>
      </c>
      <c r="O37" s="32" t="str">
        <f aca="false">CONCATENATE(G37,", ",F37)</f>
        <v>GO, 11.33</v>
      </c>
    </row>
    <row r="38" customFormat="false" ht="15.75" hidden="false" customHeight="true" outlineLevel="0" collapsed="false">
      <c r="A38" s="30" t="n">
        <v>45247</v>
      </c>
      <c r="B38" s="31" t="s">
        <v>48</v>
      </c>
      <c r="C38" s="31" t="s">
        <v>119</v>
      </c>
      <c r="D38" s="31" t="n">
        <v>19</v>
      </c>
      <c r="E38" s="31" t="s">
        <v>14</v>
      </c>
      <c r="F38" s="31" t="n">
        <v>10.93</v>
      </c>
      <c r="G38" s="41" t="s">
        <v>211</v>
      </c>
      <c r="H38" s="31"/>
      <c r="I38" s="31"/>
      <c r="J38" s="39" t="s">
        <v>261</v>
      </c>
      <c r="L38" s="31" t="s">
        <v>213</v>
      </c>
      <c r="M38" s="31" t="s">
        <v>214</v>
      </c>
      <c r="N38" s="31" t="s">
        <v>215</v>
      </c>
      <c r="O38" s="32" t="str">
        <f aca="false">CONCATENATE(G38,", ",F38)</f>
        <v>GO, 10.93</v>
      </c>
    </row>
    <row r="39" customFormat="false" ht="15.75" hidden="false" customHeight="true" outlineLevel="0" collapsed="false">
      <c r="A39" s="30" t="n">
        <v>45247</v>
      </c>
      <c r="B39" s="31" t="s">
        <v>48</v>
      </c>
      <c r="C39" s="31" t="s">
        <v>119</v>
      </c>
      <c r="D39" s="31" t="n">
        <v>20</v>
      </c>
      <c r="E39" s="31" t="s">
        <v>35</v>
      </c>
      <c r="F39" s="31" t="n">
        <v>30</v>
      </c>
      <c r="G39" s="41" t="s">
        <v>217</v>
      </c>
      <c r="H39" s="31"/>
      <c r="I39" s="31"/>
      <c r="J39" s="39" t="s">
        <v>261</v>
      </c>
      <c r="L39" s="31" t="s">
        <v>213</v>
      </c>
      <c r="M39" s="31" t="s">
        <v>214</v>
      </c>
      <c r="N39" s="31" t="s">
        <v>215</v>
      </c>
      <c r="O39" s="32" t="str">
        <f aca="false">CONCATENATE(G39,", ",F39)</f>
        <v>NOGO, 30</v>
      </c>
    </row>
    <row r="40" customFormat="false" ht="15.75" hidden="false" customHeight="true" outlineLevel="0" collapsed="false">
      <c r="A40" s="30" t="n">
        <v>45247</v>
      </c>
      <c r="B40" s="31" t="s">
        <v>48</v>
      </c>
      <c r="C40" s="31" t="s">
        <v>127</v>
      </c>
      <c r="D40" s="31" t="n">
        <v>9</v>
      </c>
      <c r="E40" s="31" t="s">
        <v>14</v>
      </c>
      <c r="F40" s="31" t="n">
        <v>11.6</v>
      </c>
      <c r="G40" s="41" t="s">
        <v>211</v>
      </c>
      <c r="H40" s="31"/>
      <c r="I40" s="31" t="s">
        <v>262</v>
      </c>
      <c r="J40" s="39" t="s">
        <v>263</v>
      </c>
      <c r="L40" s="31" t="s">
        <v>213</v>
      </c>
      <c r="M40" s="31" t="s">
        <v>214</v>
      </c>
      <c r="N40" s="31" t="s">
        <v>215</v>
      </c>
      <c r="O40" s="32" t="str">
        <f aca="false">CONCATENATE(G40,", ",F40)</f>
        <v>GO, 11.6</v>
      </c>
    </row>
    <row r="41" customFormat="false" ht="15.75" hidden="false" customHeight="true" outlineLevel="0" collapsed="false">
      <c r="A41" s="30" t="n">
        <v>45248</v>
      </c>
      <c r="B41" s="31" t="s">
        <v>57</v>
      </c>
      <c r="C41" s="31" t="s">
        <v>116</v>
      </c>
      <c r="D41" s="31" t="n">
        <v>17</v>
      </c>
      <c r="E41" s="31" t="s">
        <v>35</v>
      </c>
      <c r="F41" s="31" t="n">
        <v>27.2</v>
      </c>
      <c r="G41" s="41" t="s">
        <v>211</v>
      </c>
      <c r="H41" s="31"/>
      <c r="I41" s="31" t="s">
        <v>17</v>
      </c>
      <c r="J41" s="42" t="s">
        <v>264</v>
      </c>
      <c r="K41" s="39" t="s">
        <v>265</v>
      </c>
      <c r="L41" s="31" t="s">
        <v>213</v>
      </c>
      <c r="M41" s="31" t="s">
        <v>214</v>
      </c>
      <c r="N41" s="31" t="s">
        <v>215</v>
      </c>
      <c r="O41" s="32" t="str">
        <f aca="false">CONCATENATE(G41,", ",F41)</f>
        <v>GO, 27.2</v>
      </c>
    </row>
    <row r="42" customFormat="false" ht="15.75" hidden="false" customHeight="true" outlineLevel="0" collapsed="false">
      <c r="A42" s="30" t="n">
        <v>45248</v>
      </c>
      <c r="B42" s="31" t="s">
        <v>57</v>
      </c>
      <c r="C42" s="31" t="s">
        <v>116</v>
      </c>
      <c r="D42" s="31" t="n">
        <v>18</v>
      </c>
      <c r="E42" s="31" t="s">
        <v>35</v>
      </c>
      <c r="F42" s="31" t="n">
        <v>30</v>
      </c>
      <c r="G42" s="41" t="s">
        <v>217</v>
      </c>
      <c r="H42" s="31"/>
      <c r="I42" s="31"/>
      <c r="J42" s="42" t="s">
        <v>264</v>
      </c>
      <c r="K42" s="39" t="s">
        <v>265</v>
      </c>
      <c r="L42" s="31" t="s">
        <v>213</v>
      </c>
      <c r="M42" s="31" t="s">
        <v>214</v>
      </c>
      <c r="N42" s="31" t="s">
        <v>215</v>
      </c>
      <c r="O42" s="32" t="str">
        <f aca="false">CONCATENATE(G42,", ",F42)</f>
        <v>NOGO, 30</v>
      </c>
    </row>
    <row r="43" customFormat="false" ht="15.75" hidden="false" customHeight="true" outlineLevel="0" collapsed="false">
      <c r="A43" s="30" t="n">
        <v>45248</v>
      </c>
      <c r="B43" s="31" t="s">
        <v>57</v>
      </c>
      <c r="C43" s="31" t="s">
        <v>116</v>
      </c>
      <c r="D43" s="31" t="n">
        <v>19</v>
      </c>
      <c r="E43" s="31" t="s">
        <v>14</v>
      </c>
      <c r="F43" s="31" t="n">
        <v>11.66</v>
      </c>
      <c r="G43" s="41" t="s">
        <v>211</v>
      </c>
      <c r="H43" s="31"/>
      <c r="I43" s="31" t="s">
        <v>141</v>
      </c>
      <c r="J43" s="42" t="s">
        <v>264</v>
      </c>
      <c r="K43" s="39" t="s">
        <v>265</v>
      </c>
      <c r="L43" s="31" t="s">
        <v>213</v>
      </c>
      <c r="M43" s="31" t="s">
        <v>214</v>
      </c>
      <c r="N43" s="31" t="s">
        <v>215</v>
      </c>
      <c r="O43" s="32" t="str">
        <f aca="false">CONCATENATE(G43,", ",F43)</f>
        <v>GO, 11.66</v>
      </c>
    </row>
    <row r="44" customFormat="false" ht="15.75" hidden="false" customHeight="true" outlineLevel="0" collapsed="false">
      <c r="A44" s="30" t="n">
        <v>45248</v>
      </c>
      <c r="B44" s="31" t="s">
        <v>57</v>
      </c>
      <c r="C44" s="31" t="s">
        <v>116</v>
      </c>
      <c r="D44" s="31" t="n">
        <v>20</v>
      </c>
      <c r="E44" s="31" t="s">
        <v>35</v>
      </c>
      <c r="F44" s="31" t="n">
        <v>30</v>
      </c>
      <c r="G44" s="41" t="s">
        <v>217</v>
      </c>
      <c r="H44" s="31"/>
      <c r="I44" s="31" t="s">
        <v>142</v>
      </c>
      <c r="J44" s="42" t="s">
        <v>266</v>
      </c>
      <c r="K44" s="39" t="s">
        <v>265</v>
      </c>
      <c r="L44" s="31" t="s">
        <v>213</v>
      </c>
      <c r="M44" s="31" t="s">
        <v>214</v>
      </c>
      <c r="N44" s="31" t="s">
        <v>215</v>
      </c>
      <c r="O44" s="32" t="str">
        <f aca="false">CONCATENATE(G44,", ",F44)</f>
        <v>NOGO, 30</v>
      </c>
    </row>
    <row r="45" customFormat="false" ht="15.75" hidden="false" customHeight="true" outlineLevel="0" collapsed="false">
      <c r="A45" s="43" t="n">
        <v>45248</v>
      </c>
      <c r="B45" s="44" t="s">
        <v>57</v>
      </c>
      <c r="C45" s="44" t="s">
        <v>122</v>
      </c>
      <c r="D45" s="44" t="n">
        <v>1</v>
      </c>
      <c r="E45" s="44" t="s">
        <v>14</v>
      </c>
      <c r="F45" s="44" t="n">
        <v>9.35</v>
      </c>
      <c r="G45" s="45" t="s">
        <v>211</v>
      </c>
      <c r="H45" s="44"/>
      <c r="I45" s="44" t="s">
        <v>136</v>
      </c>
      <c r="J45" s="46" t="s">
        <v>267</v>
      </c>
      <c r="K45" s="46"/>
      <c r="L45" s="44" t="s">
        <v>213</v>
      </c>
      <c r="M45" s="44" t="s">
        <v>214</v>
      </c>
      <c r="N45" s="44" t="s">
        <v>215</v>
      </c>
      <c r="O45" s="47" t="str">
        <f aca="false">CONCATENATE(G45,", ",F45)</f>
        <v>GO, 9.35</v>
      </c>
    </row>
    <row r="46" customFormat="false" ht="15.75" hidden="false" customHeight="true" outlineLevel="0" collapsed="false">
      <c r="A46" s="30" t="n">
        <v>45248</v>
      </c>
      <c r="B46" s="31" t="s">
        <v>57</v>
      </c>
      <c r="C46" s="31" t="s">
        <v>122</v>
      </c>
      <c r="D46" s="31" t="n">
        <v>2</v>
      </c>
      <c r="E46" s="31" t="s">
        <v>14</v>
      </c>
      <c r="F46" s="31" t="n">
        <v>9.15</v>
      </c>
      <c r="G46" s="48"/>
      <c r="H46" s="31"/>
      <c r="I46" s="31" t="s">
        <v>268</v>
      </c>
      <c r="J46" s="39" t="s">
        <v>267</v>
      </c>
      <c r="L46" s="31" t="s">
        <v>213</v>
      </c>
      <c r="M46" s="31" t="s">
        <v>214</v>
      </c>
      <c r="N46" s="31" t="s">
        <v>215</v>
      </c>
      <c r="O46" s="32" t="str">
        <f aca="false">CONCATENATE(G46,", ",F46)</f>
        <v>, 9.15</v>
      </c>
    </row>
    <row r="47" customFormat="false" ht="15.75" hidden="false" customHeight="true" outlineLevel="0" collapsed="false">
      <c r="A47" s="30" t="n">
        <v>45248</v>
      </c>
      <c r="B47" s="31" t="s">
        <v>57</v>
      </c>
      <c r="C47" s="31" t="s">
        <v>122</v>
      </c>
      <c r="D47" s="31" t="n">
        <v>3</v>
      </c>
      <c r="E47" s="31" t="s">
        <v>35</v>
      </c>
      <c r="F47" s="31" t="n">
        <v>9.01</v>
      </c>
      <c r="G47" s="48"/>
      <c r="H47" s="31"/>
      <c r="I47" s="31" t="s">
        <v>268</v>
      </c>
      <c r="J47" s="39" t="s">
        <v>267</v>
      </c>
      <c r="L47" s="31" t="s">
        <v>213</v>
      </c>
      <c r="M47" s="31" t="s">
        <v>214</v>
      </c>
      <c r="N47" s="31" t="s">
        <v>215</v>
      </c>
      <c r="O47" s="32" t="str">
        <f aca="false">CONCATENATE(G47,", ",F47)</f>
        <v>, 9.01</v>
      </c>
    </row>
    <row r="48" customFormat="false" ht="15.75" hidden="false" customHeight="true" outlineLevel="0" collapsed="false">
      <c r="A48" s="30" t="n">
        <v>45248</v>
      </c>
      <c r="B48" s="31" t="s">
        <v>57</v>
      </c>
      <c r="C48" s="31" t="s">
        <v>122</v>
      </c>
      <c r="D48" s="31" t="n">
        <v>4</v>
      </c>
      <c r="E48" s="31" t="s">
        <v>14</v>
      </c>
      <c r="F48" s="31" t="n">
        <v>8.95</v>
      </c>
      <c r="G48" s="45" t="s">
        <v>211</v>
      </c>
      <c r="H48" s="31"/>
      <c r="I48" s="31"/>
      <c r="J48" s="39" t="s">
        <v>267</v>
      </c>
      <c r="L48" s="31" t="s">
        <v>213</v>
      </c>
      <c r="M48" s="31" t="s">
        <v>214</v>
      </c>
      <c r="N48" s="31" t="s">
        <v>215</v>
      </c>
      <c r="O48" s="32" t="str">
        <f aca="false">CONCATENATE(G48,", ",F48)</f>
        <v>GO, 8.95</v>
      </c>
    </row>
    <row r="49" customFormat="false" ht="15.75" hidden="false" customHeight="true" outlineLevel="0" collapsed="false">
      <c r="A49" s="30" t="n">
        <v>45248</v>
      </c>
      <c r="B49" s="31" t="s">
        <v>57</v>
      </c>
      <c r="C49" s="31" t="s">
        <v>122</v>
      </c>
      <c r="D49" s="31" t="n">
        <v>5</v>
      </c>
      <c r="E49" s="31" t="s">
        <v>35</v>
      </c>
      <c r="F49" s="31" t="n">
        <v>30</v>
      </c>
      <c r="G49" s="41" t="s">
        <v>217</v>
      </c>
      <c r="H49" s="31"/>
      <c r="I49" s="31"/>
      <c r="J49" s="39" t="s">
        <v>267</v>
      </c>
      <c r="L49" s="31" t="s">
        <v>213</v>
      </c>
      <c r="M49" s="31" t="s">
        <v>214</v>
      </c>
      <c r="N49" s="31" t="s">
        <v>215</v>
      </c>
      <c r="O49" s="32" t="str">
        <f aca="false">CONCATENATE(G49,", ",F49)</f>
        <v>NOGO, 30</v>
      </c>
    </row>
    <row r="50" customFormat="false" ht="15.75" hidden="false" customHeight="true" outlineLevel="0" collapsed="false">
      <c r="A50" s="30" t="n">
        <v>45248</v>
      </c>
      <c r="B50" s="31" t="s">
        <v>57</v>
      </c>
      <c r="C50" s="31" t="s">
        <v>122</v>
      </c>
      <c r="D50" s="31" t="n">
        <v>6</v>
      </c>
      <c r="E50" s="31" t="s">
        <v>35</v>
      </c>
      <c r="F50" s="31" t="n">
        <v>30</v>
      </c>
      <c r="G50" s="41" t="s">
        <v>217</v>
      </c>
      <c r="H50" s="31"/>
      <c r="I50" s="31"/>
      <c r="J50" s="39" t="s">
        <v>267</v>
      </c>
      <c r="L50" s="31" t="s">
        <v>213</v>
      </c>
      <c r="M50" s="31" t="s">
        <v>214</v>
      </c>
      <c r="N50" s="31" t="s">
        <v>215</v>
      </c>
      <c r="O50" s="32" t="str">
        <f aca="false">CONCATENATE(G50,", ",F50)</f>
        <v>NOGO, 30</v>
      </c>
    </row>
    <row r="51" customFormat="false" ht="15.75" hidden="false" customHeight="true" outlineLevel="0" collapsed="false">
      <c r="A51" s="30" t="n">
        <v>45248</v>
      </c>
      <c r="B51" s="31" t="s">
        <v>57</v>
      </c>
      <c r="C51" s="31" t="s">
        <v>122</v>
      </c>
      <c r="D51" s="31" t="n">
        <v>7</v>
      </c>
      <c r="E51" s="31" t="s">
        <v>14</v>
      </c>
      <c r="F51" s="31" t="n">
        <v>8.69</v>
      </c>
      <c r="G51" s="48"/>
      <c r="H51" s="31"/>
      <c r="I51" s="31" t="s">
        <v>268</v>
      </c>
      <c r="J51" s="39" t="s">
        <v>267</v>
      </c>
      <c r="L51" s="31" t="s">
        <v>213</v>
      </c>
      <c r="M51" s="31" t="s">
        <v>214</v>
      </c>
      <c r="N51" s="31" t="s">
        <v>215</v>
      </c>
      <c r="O51" s="32" t="str">
        <f aca="false">CONCATENATE(G51,", ",F51)</f>
        <v>, 8.69</v>
      </c>
    </row>
    <row r="52" customFormat="false" ht="15.75" hidden="false" customHeight="true" outlineLevel="0" collapsed="false">
      <c r="A52" s="30" t="n">
        <v>45248</v>
      </c>
      <c r="B52" s="31" t="s">
        <v>57</v>
      </c>
      <c r="C52" s="31" t="s">
        <v>122</v>
      </c>
      <c r="D52" s="31" t="n">
        <v>8</v>
      </c>
      <c r="E52" s="31" t="s">
        <v>35</v>
      </c>
      <c r="F52" s="31" t="n">
        <v>30</v>
      </c>
      <c r="G52" s="41" t="s">
        <v>217</v>
      </c>
      <c r="H52" s="31"/>
      <c r="I52" s="31"/>
      <c r="J52" s="39" t="s">
        <v>267</v>
      </c>
      <c r="L52" s="31" t="s">
        <v>213</v>
      </c>
      <c r="M52" s="31" t="s">
        <v>214</v>
      </c>
      <c r="N52" s="31" t="s">
        <v>215</v>
      </c>
      <c r="O52" s="32" t="str">
        <f aca="false">CONCATENATE(G52,", ",F52)</f>
        <v>NOGO, 30</v>
      </c>
    </row>
    <row r="53" customFormat="false" ht="15.75" hidden="false" customHeight="true" outlineLevel="0" collapsed="false">
      <c r="A53" s="30" t="n">
        <v>45248</v>
      </c>
      <c r="B53" s="31" t="s">
        <v>57</v>
      </c>
      <c r="C53" s="31" t="s">
        <v>122</v>
      </c>
      <c r="D53" s="31" t="n">
        <v>9</v>
      </c>
      <c r="E53" s="31" t="s">
        <v>35</v>
      </c>
      <c r="F53" s="31" t="n">
        <v>30</v>
      </c>
      <c r="G53" s="41" t="s">
        <v>217</v>
      </c>
      <c r="H53" s="31"/>
      <c r="I53" s="31"/>
      <c r="J53" s="39" t="s">
        <v>267</v>
      </c>
      <c r="L53" s="31" t="s">
        <v>213</v>
      </c>
      <c r="M53" s="31" t="s">
        <v>214</v>
      </c>
      <c r="N53" s="31" t="s">
        <v>215</v>
      </c>
      <c r="O53" s="32" t="str">
        <f aca="false">CONCATENATE(G53,", ",F53)</f>
        <v>NOGO, 30</v>
      </c>
    </row>
    <row r="54" customFormat="false" ht="15.75" hidden="false" customHeight="true" outlineLevel="0" collapsed="false">
      <c r="A54" s="30" t="n">
        <v>45248</v>
      </c>
      <c r="B54" s="31" t="s">
        <v>57</v>
      </c>
      <c r="C54" s="31" t="s">
        <v>122</v>
      </c>
      <c r="D54" s="31" t="n">
        <v>10</v>
      </c>
      <c r="E54" s="31" t="s">
        <v>14</v>
      </c>
      <c r="F54" s="31" t="n">
        <v>9.09</v>
      </c>
      <c r="G54" s="45" t="s">
        <v>211</v>
      </c>
      <c r="H54" s="31"/>
      <c r="I54" s="31"/>
      <c r="J54" s="39" t="s">
        <v>267</v>
      </c>
      <c r="L54" s="31" t="s">
        <v>213</v>
      </c>
      <c r="M54" s="31" t="s">
        <v>214</v>
      </c>
      <c r="N54" s="31" t="s">
        <v>215</v>
      </c>
      <c r="O54" s="32" t="str">
        <f aca="false">CONCATENATE(G54,", ",F54)</f>
        <v>GO, 9.09</v>
      </c>
    </row>
    <row r="55" customFormat="false" ht="15.75" hidden="false" customHeight="true" outlineLevel="0" collapsed="false">
      <c r="A55" s="30" t="n">
        <v>45248</v>
      </c>
      <c r="B55" s="31" t="s">
        <v>57</v>
      </c>
      <c r="C55" s="31" t="s">
        <v>122</v>
      </c>
      <c r="D55" s="31" t="n">
        <v>11</v>
      </c>
      <c r="E55" s="31" t="s">
        <v>35</v>
      </c>
      <c r="F55" s="31" t="n">
        <v>30</v>
      </c>
      <c r="G55" s="41" t="s">
        <v>217</v>
      </c>
      <c r="H55" s="31"/>
      <c r="I55" s="31"/>
      <c r="J55" s="39" t="s">
        <v>267</v>
      </c>
      <c r="L55" s="31" t="s">
        <v>213</v>
      </c>
      <c r="M55" s="31" t="s">
        <v>214</v>
      </c>
      <c r="N55" s="31" t="s">
        <v>215</v>
      </c>
      <c r="O55" s="32" t="str">
        <f aca="false">CONCATENATE(G55,", ",F55)</f>
        <v>NOGO, 30</v>
      </c>
    </row>
    <row r="56" customFormat="false" ht="15.75" hidden="false" customHeight="true" outlineLevel="0" collapsed="false">
      <c r="A56" s="30" t="n">
        <v>45248</v>
      </c>
      <c r="B56" s="31" t="s">
        <v>57</v>
      </c>
      <c r="C56" s="31" t="s">
        <v>122</v>
      </c>
      <c r="D56" s="31" t="n">
        <v>12</v>
      </c>
      <c r="E56" s="31" t="s">
        <v>14</v>
      </c>
      <c r="F56" s="31" t="n">
        <v>9.13</v>
      </c>
      <c r="G56" s="45" t="s">
        <v>211</v>
      </c>
      <c r="H56" s="31"/>
      <c r="I56" s="31"/>
      <c r="J56" s="39" t="s">
        <v>267</v>
      </c>
      <c r="L56" s="31" t="s">
        <v>213</v>
      </c>
      <c r="M56" s="31" t="s">
        <v>214</v>
      </c>
      <c r="N56" s="31" t="s">
        <v>215</v>
      </c>
      <c r="O56" s="32" t="str">
        <f aca="false">CONCATENATE(G56,", ",F56)</f>
        <v>GO, 9.13</v>
      </c>
    </row>
    <row r="57" customFormat="false" ht="15.75" hidden="false" customHeight="true" outlineLevel="0" collapsed="false">
      <c r="A57" s="30" t="n">
        <v>45249</v>
      </c>
      <c r="B57" s="31" t="s">
        <v>148</v>
      </c>
      <c r="C57" s="31" t="s">
        <v>116</v>
      </c>
      <c r="D57" s="31" t="n">
        <v>14</v>
      </c>
      <c r="E57" s="31" t="s">
        <v>14</v>
      </c>
      <c r="F57" s="31" t="n">
        <v>10.68</v>
      </c>
      <c r="G57" s="41" t="s">
        <v>211</v>
      </c>
      <c r="H57" s="31"/>
      <c r="I57" s="31" t="s">
        <v>20</v>
      </c>
      <c r="J57" s="39" t="s">
        <v>269</v>
      </c>
      <c r="L57" s="31" t="s">
        <v>213</v>
      </c>
      <c r="M57" s="31" t="s">
        <v>214</v>
      </c>
      <c r="N57" s="31" t="s">
        <v>215</v>
      </c>
      <c r="O57" s="32" t="str">
        <f aca="false">CONCATENATE(G57,", ",F57)</f>
        <v>GO, 10.68</v>
      </c>
    </row>
    <row r="58" customFormat="false" ht="15.75" hidden="false" customHeight="true" outlineLevel="0" collapsed="false">
      <c r="A58" s="30" t="n">
        <v>45248</v>
      </c>
      <c r="B58" s="31" t="s">
        <v>57</v>
      </c>
      <c r="C58" s="31" t="s">
        <v>119</v>
      </c>
      <c r="D58" s="31" t="n">
        <v>12</v>
      </c>
      <c r="E58" s="31" t="s">
        <v>35</v>
      </c>
      <c r="F58" s="31" t="n">
        <v>30</v>
      </c>
      <c r="G58" s="41" t="s">
        <v>217</v>
      </c>
      <c r="H58" s="31"/>
      <c r="I58" s="31" t="s">
        <v>39</v>
      </c>
      <c r="J58" s="42" t="s">
        <v>270</v>
      </c>
      <c r="K58" s="42" t="s">
        <v>271</v>
      </c>
      <c r="L58" s="31" t="s">
        <v>213</v>
      </c>
      <c r="M58" s="31" t="s">
        <v>214</v>
      </c>
      <c r="N58" s="31" t="s">
        <v>215</v>
      </c>
      <c r="O58" s="32" t="str">
        <f aca="false">CONCATENATE(G58,", ",F58)</f>
        <v>NOGO, 30</v>
      </c>
    </row>
    <row r="59" customFormat="false" ht="15.75" hidden="false" customHeight="true" outlineLevel="0" collapsed="false">
      <c r="A59" s="30" t="n">
        <v>45248</v>
      </c>
      <c r="B59" s="31" t="s">
        <v>57</v>
      </c>
      <c r="C59" s="31" t="s">
        <v>119</v>
      </c>
      <c r="D59" s="31" t="n">
        <v>13</v>
      </c>
      <c r="E59" s="31" t="s">
        <v>14</v>
      </c>
      <c r="F59" s="31" t="n">
        <v>12.4</v>
      </c>
      <c r="G59" s="41" t="s">
        <v>211</v>
      </c>
      <c r="H59" s="31"/>
      <c r="I59" s="31" t="s">
        <v>54</v>
      </c>
      <c r="J59" s="39" t="s">
        <v>270</v>
      </c>
      <c r="L59" s="31" t="s">
        <v>213</v>
      </c>
      <c r="M59" s="31" t="s">
        <v>214</v>
      </c>
      <c r="N59" s="31" t="s">
        <v>215</v>
      </c>
      <c r="O59" s="32" t="str">
        <f aca="false">CONCATENATE(G59,", ",F59)</f>
        <v>GO, 12.4</v>
      </c>
    </row>
    <row r="60" customFormat="false" ht="15.75" hidden="false" customHeight="true" outlineLevel="0" collapsed="false">
      <c r="A60" s="30" t="n">
        <v>45249</v>
      </c>
      <c r="B60" s="31" t="s">
        <v>148</v>
      </c>
      <c r="C60" s="31" t="s">
        <v>119</v>
      </c>
      <c r="D60" s="31" t="n">
        <v>14</v>
      </c>
      <c r="E60" s="31" t="s">
        <v>14</v>
      </c>
      <c r="F60" s="31" t="n">
        <v>10.52</v>
      </c>
      <c r="G60" s="41" t="s">
        <v>211</v>
      </c>
      <c r="H60" s="31"/>
      <c r="I60" s="31" t="s">
        <v>20</v>
      </c>
      <c r="J60" s="39" t="s">
        <v>270</v>
      </c>
      <c r="L60" s="31" t="s">
        <v>213</v>
      </c>
      <c r="M60" s="31" t="s">
        <v>214</v>
      </c>
      <c r="N60" s="31" t="s">
        <v>215</v>
      </c>
      <c r="O60" s="32" t="str">
        <f aca="false">CONCATENATE(G60,", ",F60)</f>
        <v>GO, 10.52</v>
      </c>
    </row>
    <row r="61" customFormat="false" ht="15.75" hidden="false" customHeight="true" outlineLevel="0" collapsed="false">
      <c r="A61" s="30" t="n">
        <v>45249</v>
      </c>
      <c r="B61" s="31" t="s">
        <v>58</v>
      </c>
      <c r="C61" s="31" t="s">
        <v>122</v>
      </c>
      <c r="D61" s="31" t="n">
        <v>1</v>
      </c>
      <c r="E61" s="31" t="s">
        <v>14</v>
      </c>
      <c r="F61" s="31" t="n">
        <v>10.22</v>
      </c>
      <c r="G61" s="41" t="s">
        <v>211</v>
      </c>
      <c r="H61" s="31"/>
      <c r="I61" s="31" t="s">
        <v>20</v>
      </c>
      <c r="J61" s="39" t="s">
        <v>272</v>
      </c>
      <c r="L61" s="31" t="s">
        <v>213</v>
      </c>
      <c r="M61" s="31" t="s">
        <v>214</v>
      </c>
      <c r="N61" s="31" t="s">
        <v>215</v>
      </c>
      <c r="O61" s="32" t="str">
        <f aca="false">CONCATENATE(G61,", ",F61)</f>
        <v>GO, 10.22</v>
      </c>
    </row>
    <row r="62" customFormat="false" ht="15.75" hidden="false" customHeight="true" outlineLevel="0" collapsed="false">
      <c r="A62" s="30" t="n">
        <v>45249</v>
      </c>
      <c r="B62" s="31" t="s">
        <v>58</v>
      </c>
      <c r="C62" s="31" t="s">
        <v>122</v>
      </c>
      <c r="D62" s="31" t="n">
        <v>3</v>
      </c>
      <c r="E62" s="31" t="s">
        <v>68</v>
      </c>
      <c r="F62" s="31" t="n">
        <v>7.83</v>
      </c>
      <c r="G62" s="41" t="s">
        <v>211</v>
      </c>
      <c r="H62" s="31"/>
      <c r="I62" s="31" t="s">
        <v>149</v>
      </c>
      <c r="J62" s="39" t="s">
        <v>272</v>
      </c>
      <c r="L62" s="31" t="s">
        <v>213</v>
      </c>
      <c r="M62" s="31" t="s">
        <v>214</v>
      </c>
      <c r="N62" s="31" t="s">
        <v>215</v>
      </c>
      <c r="O62" s="32" t="str">
        <f aca="false">CONCATENATE(G62,", ",F62)</f>
        <v>GO, 7.83</v>
      </c>
    </row>
    <row r="63" customFormat="false" ht="15.75" hidden="false" customHeight="true" outlineLevel="0" collapsed="false">
      <c r="A63" s="30" t="n">
        <v>45249</v>
      </c>
      <c r="B63" s="31" t="s">
        <v>57</v>
      </c>
      <c r="C63" s="31" t="s">
        <v>273</v>
      </c>
      <c r="D63" s="31" t="n">
        <v>9</v>
      </c>
      <c r="E63" s="31" t="s">
        <v>14</v>
      </c>
      <c r="F63" s="31" t="n">
        <v>12.04</v>
      </c>
      <c r="G63" s="41" t="s">
        <v>211</v>
      </c>
      <c r="H63" s="31"/>
      <c r="I63" s="31" t="s">
        <v>152</v>
      </c>
      <c r="J63" s="39" t="s">
        <v>274</v>
      </c>
      <c r="L63" s="31" t="s">
        <v>213</v>
      </c>
      <c r="M63" s="31" t="s">
        <v>214</v>
      </c>
      <c r="N63" s="31" t="s">
        <v>215</v>
      </c>
      <c r="O63" s="32" t="str">
        <f aca="false">CONCATENATE(G63,", ",F63)</f>
        <v>GO, 12.04</v>
      </c>
    </row>
    <row r="64" customFormat="false" ht="15.75" hidden="false" customHeight="true" outlineLevel="0" collapsed="false">
      <c r="A64" s="30" t="n">
        <v>45250</v>
      </c>
      <c r="B64" s="31" t="s">
        <v>58</v>
      </c>
      <c r="C64" s="31" t="s">
        <v>153</v>
      </c>
      <c r="D64" s="31" t="n">
        <v>1</v>
      </c>
      <c r="E64" s="31"/>
      <c r="F64" s="49" t="n">
        <v>30</v>
      </c>
      <c r="G64" s="45" t="s">
        <v>217</v>
      </c>
      <c r="H64" s="31"/>
      <c r="I64" s="31" t="s">
        <v>154</v>
      </c>
      <c r="J64" s="39" t="s">
        <v>275</v>
      </c>
      <c r="L64" s="31" t="s">
        <v>213</v>
      </c>
      <c r="M64" s="31" t="s">
        <v>214</v>
      </c>
      <c r="N64" s="31" t="s">
        <v>215</v>
      </c>
      <c r="O64" s="32" t="str">
        <f aca="false">CONCATENATE(G64,", ",F64)</f>
        <v>NOGO, 30</v>
      </c>
    </row>
    <row r="65" customFormat="false" ht="15.75" hidden="false" customHeight="true" outlineLevel="0" collapsed="false">
      <c r="A65" s="30" t="n">
        <v>45250</v>
      </c>
      <c r="B65" s="31" t="s">
        <v>58</v>
      </c>
      <c r="C65" s="31" t="s">
        <v>116</v>
      </c>
      <c r="D65" s="31" t="n">
        <v>1</v>
      </c>
      <c r="E65" s="31" t="s">
        <v>14</v>
      </c>
      <c r="F65" s="31" t="n">
        <v>12.6</v>
      </c>
      <c r="G65" s="41" t="s">
        <v>211</v>
      </c>
      <c r="H65" s="31"/>
      <c r="I65" s="31" t="s">
        <v>155</v>
      </c>
      <c r="J65" s="39" t="s">
        <v>276</v>
      </c>
      <c r="L65" s="31" t="s">
        <v>213</v>
      </c>
      <c r="M65" s="31" t="s">
        <v>214</v>
      </c>
      <c r="N65" s="31" t="s">
        <v>215</v>
      </c>
      <c r="O65" s="32" t="str">
        <f aca="false">CONCATENATE(G65,", ",F65)</f>
        <v>GO, 12.6</v>
      </c>
    </row>
    <row r="66" customFormat="false" ht="15.75" hidden="false" customHeight="true" outlineLevel="0" collapsed="false">
      <c r="A66" s="30" t="n">
        <v>45250</v>
      </c>
      <c r="B66" s="50" t="s">
        <v>148</v>
      </c>
      <c r="C66" s="50" t="s">
        <v>117</v>
      </c>
      <c r="D66" s="50" t="n">
        <v>5</v>
      </c>
      <c r="E66" s="50" t="s">
        <v>35</v>
      </c>
      <c r="F66" s="50" t="n">
        <v>9.68</v>
      </c>
      <c r="G66" s="51" t="s">
        <v>211</v>
      </c>
      <c r="H66" s="50"/>
      <c r="I66" s="50" t="s">
        <v>156</v>
      </c>
      <c r="J66" s="52" t="s">
        <v>277</v>
      </c>
      <c r="K66" s="52"/>
      <c r="L66" s="31" t="s">
        <v>213</v>
      </c>
      <c r="M66" s="31" t="s">
        <v>214</v>
      </c>
      <c r="N66" s="31" t="s">
        <v>215</v>
      </c>
      <c r="O66" s="32" t="str">
        <f aca="false">CONCATENATE(G66,", ",F66)</f>
        <v>GO, 9.68</v>
      </c>
    </row>
    <row r="67" customFormat="false" ht="15.75" hidden="false" customHeight="true" outlineLevel="0" collapsed="false">
      <c r="A67" s="30" t="n">
        <v>45250</v>
      </c>
      <c r="B67" s="50" t="s">
        <v>148</v>
      </c>
      <c r="C67" s="50" t="s">
        <v>117</v>
      </c>
      <c r="D67" s="50" t="n">
        <v>6</v>
      </c>
      <c r="E67" s="50" t="s">
        <v>14</v>
      </c>
      <c r="F67" s="50" t="n">
        <v>30</v>
      </c>
      <c r="G67" s="51" t="s">
        <v>217</v>
      </c>
      <c r="H67" s="50"/>
      <c r="I67" s="50" t="s">
        <v>21</v>
      </c>
      <c r="J67" s="52" t="s">
        <v>277</v>
      </c>
      <c r="K67" s="52"/>
      <c r="L67" s="31" t="s">
        <v>213</v>
      </c>
      <c r="M67" s="31" t="s">
        <v>214</v>
      </c>
      <c r="N67" s="31" t="s">
        <v>215</v>
      </c>
      <c r="O67" s="32" t="str">
        <f aca="false">CONCATENATE(G67,", ",F67)</f>
        <v>NOGO, 30</v>
      </c>
    </row>
    <row r="68" customFormat="false" ht="15.75" hidden="false" customHeight="true" outlineLevel="0" collapsed="false">
      <c r="A68" s="30" t="n">
        <v>45250</v>
      </c>
      <c r="B68" s="50" t="s">
        <v>148</v>
      </c>
      <c r="C68" s="50" t="s">
        <v>117</v>
      </c>
      <c r="D68" s="50" t="n">
        <v>7</v>
      </c>
      <c r="E68" s="50" t="s">
        <v>35</v>
      </c>
      <c r="F68" s="50" t="n">
        <v>30</v>
      </c>
      <c r="G68" s="51" t="s">
        <v>217</v>
      </c>
      <c r="H68" s="50"/>
      <c r="I68" s="50" t="s">
        <v>21</v>
      </c>
      <c r="J68" s="52" t="s">
        <v>277</v>
      </c>
      <c r="K68" s="52"/>
      <c r="L68" s="31" t="s">
        <v>213</v>
      </c>
      <c r="M68" s="31" t="s">
        <v>214</v>
      </c>
      <c r="N68" s="31" t="s">
        <v>215</v>
      </c>
      <c r="O68" s="32" t="str">
        <f aca="false">CONCATENATE(G68,", ",F68)</f>
        <v>NOGO, 30</v>
      </c>
    </row>
    <row r="69" customFormat="false" ht="15.75" hidden="false" customHeight="true" outlineLevel="0" collapsed="false">
      <c r="A69" s="30" t="n">
        <v>45250</v>
      </c>
      <c r="B69" s="50" t="s">
        <v>148</v>
      </c>
      <c r="C69" s="50" t="s">
        <v>117</v>
      </c>
      <c r="D69" s="50" t="n">
        <v>8</v>
      </c>
      <c r="E69" s="50" t="s">
        <v>14</v>
      </c>
      <c r="F69" s="53"/>
      <c r="G69" s="54"/>
      <c r="H69" s="50"/>
      <c r="I69" s="50" t="s">
        <v>157</v>
      </c>
      <c r="J69" s="52" t="s">
        <v>277</v>
      </c>
      <c r="K69" s="52" t="s">
        <v>278</v>
      </c>
      <c r="L69" s="31" t="s">
        <v>213</v>
      </c>
      <c r="M69" s="31" t="s">
        <v>214</v>
      </c>
      <c r="N69" s="31" t="s">
        <v>215</v>
      </c>
      <c r="O69" s="32" t="str">
        <f aca="false">CONCATENATE(G69,", ",F69)</f>
        <v>, </v>
      </c>
    </row>
    <row r="70" customFormat="false" ht="15.75" hidden="false" customHeight="true" outlineLevel="0" collapsed="false">
      <c r="A70" s="30" t="n">
        <v>45250</v>
      </c>
      <c r="B70" s="31" t="s">
        <v>58</v>
      </c>
      <c r="C70" s="31" t="s">
        <v>158</v>
      </c>
      <c r="D70" s="31" t="n">
        <v>1</v>
      </c>
      <c r="E70" s="31" t="s">
        <v>14</v>
      </c>
      <c r="F70" s="31" t="n">
        <v>30</v>
      </c>
      <c r="G70" s="41" t="s">
        <v>217</v>
      </c>
      <c r="H70" s="31"/>
      <c r="I70" s="31" t="s">
        <v>159</v>
      </c>
      <c r="J70" s="39" t="s">
        <v>279</v>
      </c>
      <c r="L70" s="31" t="s">
        <v>213</v>
      </c>
      <c r="M70" s="31" t="s">
        <v>214</v>
      </c>
      <c r="N70" s="31" t="s">
        <v>215</v>
      </c>
      <c r="O70" s="32" t="str">
        <f aca="false">CONCATENATE(G70,", ",F70)</f>
        <v>NOGO, 30</v>
      </c>
    </row>
    <row r="71" customFormat="false" ht="15.75" hidden="false" customHeight="true" outlineLevel="0" collapsed="false">
      <c r="A71" s="30" t="n">
        <v>45251</v>
      </c>
      <c r="B71" s="31" t="s">
        <v>73</v>
      </c>
      <c r="C71" s="31" t="s">
        <v>115</v>
      </c>
      <c r="D71" s="31" t="n">
        <v>12</v>
      </c>
      <c r="E71" s="31" t="s">
        <v>112</v>
      </c>
      <c r="F71" s="31" t="n">
        <v>15.45</v>
      </c>
      <c r="G71" s="41" t="s">
        <v>211</v>
      </c>
      <c r="H71" s="31"/>
      <c r="I71" s="31" t="s">
        <v>20</v>
      </c>
      <c r="J71" s="39" t="s">
        <v>280</v>
      </c>
      <c r="L71" s="31" t="s">
        <v>213</v>
      </c>
      <c r="M71" s="31" t="s">
        <v>214</v>
      </c>
      <c r="N71" s="31" t="s">
        <v>215</v>
      </c>
      <c r="O71" s="32" t="str">
        <f aca="false">CONCATENATE(G71,", ",F71)</f>
        <v>GO, 15.45</v>
      </c>
    </row>
    <row r="72" customFormat="false" ht="15.75" hidden="false" customHeight="true" outlineLevel="0" collapsed="false">
      <c r="A72" s="30" t="n">
        <v>45251</v>
      </c>
      <c r="B72" s="31" t="s">
        <v>73</v>
      </c>
      <c r="C72" s="31" t="s">
        <v>130</v>
      </c>
      <c r="D72" s="31" t="n">
        <v>1</v>
      </c>
      <c r="E72" s="31" t="s">
        <v>14</v>
      </c>
      <c r="F72" s="31" t="n">
        <v>10.27</v>
      </c>
      <c r="G72" s="41" t="s">
        <v>211</v>
      </c>
      <c r="H72" s="31"/>
      <c r="I72" s="31" t="s">
        <v>281</v>
      </c>
      <c r="J72" s="39" t="s">
        <v>282</v>
      </c>
      <c r="L72" s="31" t="s">
        <v>213</v>
      </c>
      <c r="M72" s="31" t="s">
        <v>214</v>
      </c>
      <c r="N72" s="31" t="s">
        <v>215</v>
      </c>
      <c r="O72" s="32" t="str">
        <f aca="false">CONCATENATE(G72,", ",F72)</f>
        <v>GO, 10.27</v>
      </c>
    </row>
    <row r="73" customFormat="false" ht="15.75" hidden="false" customHeight="true" outlineLevel="0" collapsed="false">
      <c r="A73" s="30" t="n">
        <v>45251</v>
      </c>
      <c r="B73" s="31" t="s">
        <v>73</v>
      </c>
      <c r="C73" s="31" t="s">
        <v>130</v>
      </c>
      <c r="D73" s="31" t="n">
        <v>2</v>
      </c>
      <c r="E73" s="31" t="s">
        <v>257</v>
      </c>
      <c r="F73" s="31" t="n">
        <v>30</v>
      </c>
      <c r="G73" s="41" t="s">
        <v>217</v>
      </c>
      <c r="H73" s="31"/>
      <c r="I73" s="31"/>
      <c r="J73" s="39" t="s">
        <v>282</v>
      </c>
      <c r="L73" s="31" t="s">
        <v>213</v>
      </c>
      <c r="M73" s="31" t="s">
        <v>214</v>
      </c>
      <c r="N73" s="31" t="s">
        <v>215</v>
      </c>
      <c r="O73" s="32" t="str">
        <f aca="false">CONCATENATE(G73,", ",F73)</f>
        <v>NOGO, 30</v>
      </c>
    </row>
    <row r="74" customFormat="false" ht="15.75" hidden="false" customHeight="true" outlineLevel="0" collapsed="false">
      <c r="A74" s="30" t="n">
        <v>45251</v>
      </c>
      <c r="B74" s="31" t="s">
        <v>73</v>
      </c>
      <c r="C74" s="31" t="s">
        <v>130</v>
      </c>
      <c r="D74" s="31" t="n">
        <v>3</v>
      </c>
      <c r="E74" s="31" t="s">
        <v>68</v>
      </c>
      <c r="F74" s="31" t="n">
        <v>9.15</v>
      </c>
      <c r="G74" s="41" t="s">
        <v>211</v>
      </c>
      <c r="H74" s="31"/>
      <c r="I74" s="31"/>
      <c r="J74" s="39" t="s">
        <v>282</v>
      </c>
      <c r="L74" s="31" t="s">
        <v>213</v>
      </c>
      <c r="M74" s="31" t="s">
        <v>214</v>
      </c>
      <c r="N74" s="31" t="s">
        <v>215</v>
      </c>
      <c r="O74" s="32" t="str">
        <f aca="false">CONCATENATE(G74,", ",F74)</f>
        <v>GO, 9.15</v>
      </c>
    </row>
    <row r="75" customFormat="false" ht="15.75" hidden="false" customHeight="true" outlineLevel="0" collapsed="false">
      <c r="A75" s="30" t="n">
        <v>45251</v>
      </c>
      <c r="B75" s="31" t="s">
        <v>73</v>
      </c>
      <c r="C75" s="31" t="s">
        <v>130</v>
      </c>
      <c r="D75" s="31" t="n">
        <v>4</v>
      </c>
      <c r="E75" s="31" t="s">
        <v>257</v>
      </c>
      <c r="F75" s="31" t="n">
        <v>30</v>
      </c>
      <c r="G75" s="41" t="s">
        <v>217</v>
      </c>
      <c r="H75" s="31"/>
      <c r="I75" s="31" t="s">
        <v>283</v>
      </c>
      <c r="J75" s="39" t="s">
        <v>282</v>
      </c>
      <c r="L75" s="31" t="s">
        <v>213</v>
      </c>
      <c r="M75" s="31" t="s">
        <v>214</v>
      </c>
      <c r="N75" s="31" t="s">
        <v>215</v>
      </c>
      <c r="O75" s="32" t="str">
        <f aca="false">CONCATENATE(G75,", ",F75)</f>
        <v>NOGO, 30</v>
      </c>
    </row>
    <row r="76" customFormat="false" ht="15.75" hidden="false" customHeight="true" outlineLevel="0" collapsed="false">
      <c r="A76" s="30" t="n">
        <v>45251</v>
      </c>
      <c r="B76" s="31" t="s">
        <v>73</v>
      </c>
      <c r="C76" s="31" t="s">
        <v>130</v>
      </c>
      <c r="D76" s="31" t="n">
        <v>5</v>
      </c>
      <c r="E76" s="31" t="s">
        <v>14</v>
      </c>
      <c r="F76" s="31" t="n">
        <v>9.81</v>
      </c>
      <c r="G76" s="41" t="s">
        <v>211</v>
      </c>
      <c r="H76" s="31"/>
      <c r="I76" s="31" t="s">
        <v>284</v>
      </c>
      <c r="J76" s="39" t="s">
        <v>282</v>
      </c>
      <c r="L76" s="31" t="s">
        <v>213</v>
      </c>
      <c r="M76" s="31" t="s">
        <v>214</v>
      </c>
      <c r="N76" s="31" t="s">
        <v>215</v>
      </c>
      <c r="O76" s="32" t="str">
        <f aca="false">CONCATENATE(G76,", ",F76)</f>
        <v>GO, 9.81</v>
      </c>
    </row>
    <row r="77" customFormat="false" ht="15.75" hidden="false" customHeight="true" outlineLevel="0" collapsed="false">
      <c r="A77" s="30" t="n">
        <v>45251</v>
      </c>
      <c r="B77" s="31" t="s">
        <v>73</v>
      </c>
      <c r="C77" s="31" t="s">
        <v>130</v>
      </c>
      <c r="D77" s="31" t="n">
        <v>6</v>
      </c>
      <c r="E77" s="31" t="s">
        <v>257</v>
      </c>
      <c r="F77" s="31" t="n">
        <v>30</v>
      </c>
      <c r="G77" s="41" t="s">
        <v>217</v>
      </c>
      <c r="H77" s="31"/>
      <c r="I77" s="31"/>
      <c r="J77" s="39" t="s">
        <v>282</v>
      </c>
      <c r="L77" s="31" t="s">
        <v>213</v>
      </c>
      <c r="M77" s="31" t="s">
        <v>214</v>
      </c>
      <c r="N77" s="31" t="s">
        <v>215</v>
      </c>
      <c r="O77" s="32" t="str">
        <f aca="false">CONCATENATE(G77,", ",F77)</f>
        <v>NOGO, 30</v>
      </c>
    </row>
    <row r="78" customFormat="false" ht="15.75" hidden="false" customHeight="true" outlineLevel="0" collapsed="false">
      <c r="A78" s="30" t="n">
        <v>45251</v>
      </c>
      <c r="B78" s="31" t="s">
        <v>73</v>
      </c>
      <c r="C78" s="31" t="s">
        <v>130</v>
      </c>
      <c r="D78" s="31" t="n">
        <v>7</v>
      </c>
      <c r="E78" s="31" t="s">
        <v>35</v>
      </c>
      <c r="F78" s="31" t="n">
        <v>30</v>
      </c>
      <c r="G78" s="41" t="s">
        <v>217</v>
      </c>
      <c r="H78" s="31"/>
      <c r="I78" s="31" t="s">
        <v>285</v>
      </c>
      <c r="J78" s="39" t="s">
        <v>282</v>
      </c>
      <c r="L78" s="31" t="s">
        <v>213</v>
      </c>
      <c r="M78" s="31" t="s">
        <v>214</v>
      </c>
      <c r="N78" s="31" t="s">
        <v>215</v>
      </c>
      <c r="O78" s="32" t="str">
        <f aca="false">CONCATENATE(G78,", ",F78)</f>
        <v>NOGO, 30</v>
      </c>
    </row>
    <row r="79" customFormat="false" ht="15.75" hidden="false" customHeight="true" outlineLevel="0" collapsed="false">
      <c r="A79" s="30" t="n">
        <v>45251</v>
      </c>
      <c r="B79" s="31" t="s">
        <v>73</v>
      </c>
      <c r="C79" s="31" t="s">
        <v>130</v>
      </c>
      <c r="D79" s="31" t="n">
        <v>8</v>
      </c>
      <c r="E79" s="31" t="s">
        <v>70</v>
      </c>
      <c r="F79" s="31" t="n">
        <v>9.74</v>
      </c>
      <c r="G79" s="41" t="s">
        <v>211</v>
      </c>
      <c r="H79" s="31"/>
      <c r="I79" s="31" t="s">
        <v>286</v>
      </c>
      <c r="J79" s="39" t="s">
        <v>282</v>
      </c>
      <c r="L79" s="31" t="s">
        <v>213</v>
      </c>
      <c r="M79" s="31" t="s">
        <v>214</v>
      </c>
      <c r="N79" s="31" t="s">
        <v>215</v>
      </c>
      <c r="O79" s="32" t="str">
        <f aca="false">CONCATENATE(G79,", ",F79)</f>
        <v>GO, 9.74</v>
      </c>
    </row>
    <row r="80" customFormat="false" ht="15.75" hidden="false" customHeight="true" outlineLevel="0" collapsed="false">
      <c r="A80" s="30" t="n">
        <v>45251</v>
      </c>
      <c r="B80" s="31" t="s">
        <v>73</v>
      </c>
      <c r="C80" s="31" t="s">
        <v>130</v>
      </c>
      <c r="D80" s="31" t="n">
        <v>9</v>
      </c>
      <c r="E80" s="31" t="s">
        <v>14</v>
      </c>
      <c r="F80" s="31" t="n">
        <v>15.25</v>
      </c>
      <c r="G80" s="41" t="s">
        <v>211</v>
      </c>
      <c r="H80" s="31"/>
      <c r="I80" s="31" t="s">
        <v>283</v>
      </c>
      <c r="J80" s="39" t="s">
        <v>282</v>
      </c>
      <c r="L80" s="31" t="s">
        <v>213</v>
      </c>
      <c r="M80" s="31" t="s">
        <v>214</v>
      </c>
      <c r="N80" s="31" t="s">
        <v>215</v>
      </c>
      <c r="O80" s="32" t="str">
        <f aca="false">CONCATENATE(G80,", ",F80)</f>
        <v>GO, 15.25</v>
      </c>
    </row>
    <row r="81" customFormat="false" ht="15.75" hidden="false" customHeight="true" outlineLevel="0" collapsed="false">
      <c r="A81" s="30" t="n">
        <v>45251</v>
      </c>
      <c r="B81" s="31" t="s">
        <v>73</v>
      </c>
      <c r="C81" s="31" t="s">
        <v>130</v>
      </c>
      <c r="D81" s="31" t="n">
        <v>10</v>
      </c>
      <c r="E81" s="31" t="s">
        <v>35</v>
      </c>
      <c r="F81" s="31" t="n">
        <v>30</v>
      </c>
      <c r="G81" s="41" t="s">
        <v>217</v>
      </c>
      <c r="H81" s="31"/>
      <c r="I81" s="31" t="s">
        <v>286</v>
      </c>
      <c r="J81" s="39" t="s">
        <v>282</v>
      </c>
      <c r="L81" s="31" t="s">
        <v>213</v>
      </c>
      <c r="M81" s="31" t="s">
        <v>214</v>
      </c>
      <c r="N81" s="31" t="s">
        <v>215</v>
      </c>
      <c r="O81" s="32" t="str">
        <f aca="false">CONCATENATE(G81,", ",F81)</f>
        <v>NOGO, 30</v>
      </c>
    </row>
    <row r="82" customFormat="false" ht="15.75" hidden="false" customHeight="true" outlineLevel="0" collapsed="false">
      <c r="A82" s="30" t="n">
        <v>45251</v>
      </c>
      <c r="B82" s="31" t="s">
        <v>73</v>
      </c>
      <c r="C82" s="31" t="s">
        <v>130</v>
      </c>
      <c r="D82" s="31" t="n">
        <v>11</v>
      </c>
      <c r="E82" s="31" t="s">
        <v>14</v>
      </c>
      <c r="F82" s="31" t="n">
        <v>11.53</v>
      </c>
      <c r="G82" s="41" t="s">
        <v>211</v>
      </c>
      <c r="H82" s="31"/>
      <c r="I82" s="31"/>
      <c r="J82" s="39" t="s">
        <v>282</v>
      </c>
      <c r="L82" s="31" t="s">
        <v>213</v>
      </c>
      <c r="M82" s="31" t="s">
        <v>214</v>
      </c>
      <c r="N82" s="31" t="s">
        <v>215</v>
      </c>
      <c r="O82" s="32" t="str">
        <f aca="false">CONCATENATE(G82,", ",F82)</f>
        <v>GO, 11.53</v>
      </c>
    </row>
    <row r="83" customFormat="false" ht="15.75" hidden="false" customHeight="true" outlineLevel="0" collapsed="false">
      <c r="A83" s="30" t="n">
        <v>45251</v>
      </c>
      <c r="B83" s="31" t="s">
        <v>73</v>
      </c>
      <c r="C83" s="31" t="s">
        <v>130</v>
      </c>
      <c r="D83" s="31" t="n">
        <v>12</v>
      </c>
      <c r="E83" s="31" t="s">
        <v>35</v>
      </c>
      <c r="F83" s="31" t="n">
        <v>24.2</v>
      </c>
      <c r="G83" s="41" t="s">
        <v>211</v>
      </c>
      <c r="H83" s="31"/>
      <c r="I83" s="31"/>
      <c r="J83" s="39" t="s">
        <v>282</v>
      </c>
      <c r="L83" s="31" t="s">
        <v>213</v>
      </c>
      <c r="M83" s="31" t="s">
        <v>214</v>
      </c>
      <c r="N83" s="31" t="s">
        <v>215</v>
      </c>
      <c r="O83" s="32" t="str">
        <f aca="false">CONCATENATE(G83,", ",F83)</f>
        <v>GO, 24.2</v>
      </c>
    </row>
    <row r="84" customFormat="false" ht="15.75" hidden="false" customHeight="true" outlineLevel="0" collapsed="false">
      <c r="A84" s="30" t="n">
        <v>45251</v>
      </c>
      <c r="B84" s="31" t="s">
        <v>73</v>
      </c>
      <c r="C84" s="31" t="s">
        <v>130</v>
      </c>
      <c r="D84" s="31" t="n">
        <v>13</v>
      </c>
      <c r="E84" s="31" t="s">
        <v>112</v>
      </c>
      <c r="F84" s="31" t="n">
        <v>30</v>
      </c>
      <c r="G84" s="41" t="s">
        <v>217</v>
      </c>
      <c r="H84" s="31"/>
      <c r="I84" s="31"/>
      <c r="J84" s="39" t="s">
        <v>282</v>
      </c>
      <c r="L84" s="31" t="s">
        <v>213</v>
      </c>
      <c r="M84" s="31" t="s">
        <v>214</v>
      </c>
      <c r="N84" s="31" t="s">
        <v>215</v>
      </c>
      <c r="O84" s="32" t="str">
        <f aca="false">CONCATENATE(G84,", ",F84)</f>
        <v>NOGO, 30</v>
      </c>
    </row>
    <row r="85" s="55" customFormat="true" ht="15.75" hidden="false" customHeight="true" outlineLevel="0" collapsed="false">
      <c r="A85" s="30" t="n">
        <v>45251</v>
      </c>
      <c r="B85" s="31" t="s">
        <v>73</v>
      </c>
      <c r="C85" s="31" t="s">
        <v>130</v>
      </c>
      <c r="D85" s="31" t="n">
        <v>14</v>
      </c>
      <c r="E85" s="31" t="s">
        <v>14</v>
      </c>
      <c r="F85" s="31" t="n">
        <v>11.09</v>
      </c>
      <c r="G85" s="41" t="s">
        <v>211</v>
      </c>
      <c r="H85" s="31"/>
      <c r="I85" s="31"/>
      <c r="J85" s="39" t="s">
        <v>282</v>
      </c>
      <c r="K85" s="39"/>
      <c r="L85" s="31" t="s">
        <v>213</v>
      </c>
      <c r="M85" s="31" t="s">
        <v>214</v>
      </c>
      <c r="N85" s="31" t="s">
        <v>215</v>
      </c>
      <c r="O85" s="32" t="str">
        <f aca="false">CONCATENATE(G85,", ",F85)</f>
        <v>GO, 11.09</v>
      </c>
    </row>
    <row r="86" s="55" customFormat="true" ht="15.75" hidden="false" customHeight="true" outlineLevel="0" collapsed="false">
      <c r="A86" s="30" t="n">
        <v>45251</v>
      </c>
      <c r="B86" s="31" t="s">
        <v>73</v>
      </c>
      <c r="C86" s="31" t="s">
        <v>130</v>
      </c>
      <c r="D86" s="31" t="n">
        <v>15</v>
      </c>
      <c r="E86" s="31" t="s">
        <v>35</v>
      </c>
      <c r="F86" s="31" t="n">
        <v>30</v>
      </c>
      <c r="G86" s="41" t="s">
        <v>217</v>
      </c>
      <c r="H86" s="31"/>
      <c r="I86" s="31"/>
      <c r="J86" s="39" t="s">
        <v>282</v>
      </c>
      <c r="K86" s="39"/>
      <c r="L86" s="31" t="s">
        <v>213</v>
      </c>
      <c r="M86" s="31" t="s">
        <v>214</v>
      </c>
      <c r="N86" s="31" t="s">
        <v>215</v>
      </c>
      <c r="O86" s="32" t="str">
        <f aca="false">CONCATENATE(G86,", ",F86)</f>
        <v>NOGO, 30</v>
      </c>
    </row>
    <row r="87" s="55" customFormat="true" ht="15.75" hidden="false" customHeight="true" outlineLevel="0" collapsed="false">
      <c r="A87" s="30" t="n">
        <v>45251</v>
      </c>
      <c r="B87" s="31" t="s">
        <v>73</v>
      </c>
      <c r="C87" s="31" t="s">
        <v>122</v>
      </c>
      <c r="D87" s="31" t="n">
        <v>8</v>
      </c>
      <c r="E87" s="31" t="s">
        <v>14</v>
      </c>
      <c r="F87" s="31" t="n">
        <v>10.12</v>
      </c>
      <c r="G87" s="41" t="s">
        <v>211</v>
      </c>
      <c r="H87" s="31"/>
      <c r="I87" s="31" t="s">
        <v>164</v>
      </c>
      <c r="J87" s="39" t="s">
        <v>287</v>
      </c>
      <c r="K87" s="39"/>
      <c r="L87" s="31" t="s">
        <v>213</v>
      </c>
      <c r="M87" s="31" t="s">
        <v>214</v>
      </c>
      <c r="N87" s="31" t="s">
        <v>215</v>
      </c>
      <c r="O87" s="32" t="str">
        <f aca="false">CONCATENATE(G87,", ",F87)</f>
        <v>GO, 10.12</v>
      </c>
    </row>
    <row r="88" s="55" customFormat="true" ht="15.75" hidden="false" customHeight="true" outlineLevel="0" collapsed="false">
      <c r="A88" s="30" t="n">
        <v>45251</v>
      </c>
      <c r="B88" s="31" t="s">
        <v>73</v>
      </c>
      <c r="C88" s="31" t="s">
        <v>122</v>
      </c>
      <c r="D88" s="31" t="n">
        <v>10</v>
      </c>
      <c r="E88" s="31" t="s">
        <v>14</v>
      </c>
      <c r="F88" s="31" t="n">
        <v>9.49</v>
      </c>
      <c r="G88" s="41" t="s">
        <v>211</v>
      </c>
      <c r="H88" s="31"/>
      <c r="I88" s="31" t="s">
        <v>150</v>
      </c>
      <c r="J88" s="39" t="s">
        <v>287</v>
      </c>
      <c r="K88" s="39"/>
      <c r="L88" s="31" t="s">
        <v>213</v>
      </c>
      <c r="M88" s="31" t="s">
        <v>214</v>
      </c>
      <c r="N88" s="31" t="s">
        <v>215</v>
      </c>
      <c r="O88" s="32" t="str">
        <f aca="false">CONCATENATE(G88,", ",F88)</f>
        <v>GO, 9.49</v>
      </c>
    </row>
    <row r="89" customFormat="false" ht="15.75" hidden="false" customHeight="true" outlineLevel="0" collapsed="false">
      <c r="A89" s="30" t="n">
        <v>45252</v>
      </c>
      <c r="B89" s="31" t="s">
        <v>73</v>
      </c>
      <c r="C89" s="31" t="s">
        <v>137</v>
      </c>
      <c r="D89" s="31" t="n">
        <v>5</v>
      </c>
      <c r="E89" s="31" t="s">
        <v>35</v>
      </c>
      <c r="F89" s="31" t="n">
        <v>29.46</v>
      </c>
      <c r="G89" s="41" t="s">
        <v>211</v>
      </c>
      <c r="H89" s="31"/>
      <c r="I89" s="31" t="s">
        <v>167</v>
      </c>
      <c r="J89" s="39" t="s">
        <v>288</v>
      </c>
      <c r="L89" s="31" t="s">
        <v>213</v>
      </c>
      <c r="M89" s="31" t="s">
        <v>214</v>
      </c>
      <c r="N89" s="31" t="s">
        <v>215</v>
      </c>
      <c r="O89" s="32" t="str">
        <f aca="false">CONCATENATE(G89,", ",F89)</f>
        <v>GO, 29.46</v>
      </c>
    </row>
    <row r="90" customFormat="false" ht="15.75" hidden="false" customHeight="true" outlineLevel="0" collapsed="false">
      <c r="A90" s="30" t="n">
        <v>45253</v>
      </c>
      <c r="B90" s="31" t="s">
        <v>73</v>
      </c>
      <c r="C90" s="31" t="s">
        <v>117</v>
      </c>
      <c r="D90" s="31" t="n">
        <v>11</v>
      </c>
      <c r="E90" s="31" t="s">
        <v>14</v>
      </c>
      <c r="F90" s="31" t="n">
        <v>10.93</v>
      </c>
      <c r="G90" s="45" t="s">
        <v>211</v>
      </c>
      <c r="H90" s="31"/>
      <c r="I90" s="31" t="s">
        <v>54</v>
      </c>
      <c r="J90" s="39" t="s">
        <v>289</v>
      </c>
      <c r="L90" s="31" t="s">
        <v>213</v>
      </c>
      <c r="M90" s="31" t="s">
        <v>214</v>
      </c>
      <c r="N90" s="31" t="s">
        <v>215</v>
      </c>
      <c r="O90" s="32" t="str">
        <f aca="false">CONCATENATE(G90,", ",F90)</f>
        <v>GO, 10.93</v>
      </c>
    </row>
    <row r="91" customFormat="false" ht="15.75" hidden="false" customHeight="true" outlineLevel="0" collapsed="false">
      <c r="A91" s="30" t="n">
        <v>45253</v>
      </c>
      <c r="B91" s="31" t="s">
        <v>73</v>
      </c>
      <c r="C91" s="31" t="s">
        <v>127</v>
      </c>
      <c r="D91" s="31" t="n">
        <v>1</v>
      </c>
      <c r="E91" s="31" t="s">
        <v>14</v>
      </c>
      <c r="F91" s="31" t="n">
        <v>11.85</v>
      </c>
      <c r="G91" s="41" t="s">
        <v>211</v>
      </c>
      <c r="H91" s="31"/>
      <c r="I91" s="31" t="s">
        <v>290</v>
      </c>
      <c r="J91" s="39" t="s">
        <v>291</v>
      </c>
      <c r="L91" s="31" t="s">
        <v>213</v>
      </c>
      <c r="M91" s="31" t="s">
        <v>214</v>
      </c>
      <c r="N91" s="31" t="s">
        <v>215</v>
      </c>
      <c r="O91" s="32" t="str">
        <f aca="false">CONCATENATE(G91,", ",F91)</f>
        <v>GO, 11.85</v>
      </c>
    </row>
    <row r="92" customFormat="false" ht="15.75" hidden="false" customHeight="true" outlineLevel="0" collapsed="false">
      <c r="A92" s="30" t="n">
        <v>45253</v>
      </c>
      <c r="B92" s="31" t="s">
        <v>73</v>
      </c>
      <c r="C92" s="31" t="s">
        <v>127</v>
      </c>
      <c r="D92" s="31" t="n">
        <v>2</v>
      </c>
      <c r="E92" s="31" t="s">
        <v>35</v>
      </c>
      <c r="F92" s="31" t="n">
        <v>18.88</v>
      </c>
      <c r="G92" s="41" t="s">
        <v>211</v>
      </c>
      <c r="H92" s="31"/>
      <c r="I92" s="31"/>
      <c r="J92" s="39" t="s">
        <v>291</v>
      </c>
      <c r="L92" s="31" t="s">
        <v>213</v>
      </c>
      <c r="M92" s="31" t="s">
        <v>214</v>
      </c>
      <c r="N92" s="31" t="s">
        <v>215</v>
      </c>
      <c r="O92" s="32" t="str">
        <f aca="false">CONCATENATE(G92,", ",F92)</f>
        <v>GO, 18.88</v>
      </c>
    </row>
    <row r="93" customFormat="false" ht="15.75" hidden="false" customHeight="true" outlineLevel="0" collapsed="false">
      <c r="A93" s="30" t="n">
        <v>45253</v>
      </c>
      <c r="B93" s="31" t="s">
        <v>73</v>
      </c>
      <c r="C93" s="31" t="s">
        <v>127</v>
      </c>
      <c r="D93" s="31" t="n">
        <v>3</v>
      </c>
      <c r="E93" s="31" t="s">
        <v>68</v>
      </c>
      <c r="F93" s="31" t="n">
        <v>30</v>
      </c>
      <c r="G93" s="41" t="s">
        <v>217</v>
      </c>
      <c r="H93" s="31"/>
      <c r="I93" s="31"/>
      <c r="J93" s="39" t="s">
        <v>291</v>
      </c>
      <c r="L93" s="31" t="s">
        <v>213</v>
      </c>
      <c r="M93" s="31" t="s">
        <v>214</v>
      </c>
      <c r="N93" s="31" t="s">
        <v>215</v>
      </c>
      <c r="O93" s="32" t="str">
        <f aca="false">CONCATENATE(G93,", ",F93)</f>
        <v>NOGO, 30</v>
      </c>
    </row>
    <row r="94" customFormat="false" ht="15.75" hidden="false" customHeight="true" outlineLevel="0" collapsed="false">
      <c r="A94" s="30" t="n">
        <v>45253</v>
      </c>
      <c r="B94" s="31" t="s">
        <v>73</v>
      </c>
      <c r="C94" s="31" t="s">
        <v>127</v>
      </c>
      <c r="D94" s="31" t="n">
        <v>4</v>
      </c>
      <c r="E94" s="31" t="s">
        <v>14</v>
      </c>
      <c r="F94" s="31" t="n">
        <v>10.94</v>
      </c>
      <c r="G94" s="41" t="s">
        <v>211</v>
      </c>
      <c r="H94" s="31"/>
      <c r="I94" s="31"/>
      <c r="J94" s="39" t="s">
        <v>291</v>
      </c>
      <c r="L94" s="31" t="s">
        <v>213</v>
      </c>
      <c r="M94" s="31" t="s">
        <v>214</v>
      </c>
      <c r="N94" s="31" t="s">
        <v>215</v>
      </c>
      <c r="O94" s="32" t="str">
        <f aca="false">CONCATENATE(G94,", ",F94)</f>
        <v>GO, 10.94</v>
      </c>
    </row>
    <row r="95" customFormat="false" ht="15.75" hidden="false" customHeight="true" outlineLevel="0" collapsed="false">
      <c r="A95" s="30" t="n">
        <v>45253</v>
      </c>
      <c r="B95" s="31" t="s">
        <v>73</v>
      </c>
      <c r="C95" s="31" t="s">
        <v>127</v>
      </c>
      <c r="D95" s="31" t="n">
        <v>5</v>
      </c>
      <c r="E95" s="31" t="s">
        <v>35</v>
      </c>
      <c r="F95" s="31" t="n">
        <v>30</v>
      </c>
      <c r="G95" s="41" t="s">
        <v>217</v>
      </c>
      <c r="H95" s="31"/>
      <c r="I95" s="31"/>
      <c r="J95" s="39" t="s">
        <v>291</v>
      </c>
      <c r="L95" s="31" t="s">
        <v>213</v>
      </c>
      <c r="M95" s="31" t="s">
        <v>214</v>
      </c>
      <c r="N95" s="31" t="s">
        <v>215</v>
      </c>
      <c r="O95" s="32" t="str">
        <f aca="false">CONCATENATE(G95,", ",F95)</f>
        <v>NOGO, 30</v>
      </c>
    </row>
    <row r="96" customFormat="false" ht="15.75" hidden="false" customHeight="true" outlineLevel="0" collapsed="false">
      <c r="A96" s="30" t="n">
        <v>45253</v>
      </c>
      <c r="B96" s="31" t="s">
        <v>73</v>
      </c>
      <c r="C96" s="31" t="s">
        <v>127</v>
      </c>
      <c r="D96" s="31" t="n">
        <v>6</v>
      </c>
      <c r="E96" s="31" t="s">
        <v>35</v>
      </c>
      <c r="F96" s="31" t="n">
        <v>30</v>
      </c>
      <c r="G96" s="41" t="s">
        <v>217</v>
      </c>
      <c r="H96" s="31"/>
      <c r="I96" s="31"/>
      <c r="J96" s="39" t="s">
        <v>291</v>
      </c>
      <c r="L96" s="31" t="s">
        <v>213</v>
      </c>
      <c r="M96" s="31" t="s">
        <v>214</v>
      </c>
      <c r="N96" s="31" t="s">
        <v>215</v>
      </c>
      <c r="O96" s="32" t="str">
        <f aca="false">CONCATENATE(G96,", ",F96)</f>
        <v>NOGO, 30</v>
      </c>
    </row>
    <row r="97" customFormat="false" ht="15.75" hidden="false" customHeight="true" outlineLevel="0" collapsed="false">
      <c r="A97" s="30" t="n">
        <v>45253</v>
      </c>
      <c r="B97" s="31" t="s">
        <v>73</v>
      </c>
      <c r="C97" s="31" t="s">
        <v>127</v>
      </c>
      <c r="D97" s="31" t="n">
        <v>7</v>
      </c>
      <c r="E97" s="31" t="s">
        <v>70</v>
      </c>
      <c r="F97" s="31" t="n">
        <v>30</v>
      </c>
      <c r="G97" s="41" t="s">
        <v>217</v>
      </c>
      <c r="H97" s="31"/>
      <c r="I97" s="31"/>
      <c r="J97" s="39" t="s">
        <v>291</v>
      </c>
      <c r="L97" s="31" t="s">
        <v>213</v>
      </c>
      <c r="M97" s="31" t="s">
        <v>214</v>
      </c>
      <c r="N97" s="31" t="s">
        <v>215</v>
      </c>
      <c r="O97" s="32" t="str">
        <f aca="false">CONCATENATE(G97,", ",F97)</f>
        <v>NOGO, 30</v>
      </c>
    </row>
    <row r="98" customFormat="false" ht="15.75" hidden="false" customHeight="true" outlineLevel="0" collapsed="false">
      <c r="A98" s="30" t="n">
        <v>45253</v>
      </c>
      <c r="B98" s="31" t="s">
        <v>73</v>
      </c>
      <c r="C98" s="31" t="s">
        <v>127</v>
      </c>
      <c r="D98" s="31" t="n">
        <v>8</v>
      </c>
      <c r="E98" s="31" t="s">
        <v>14</v>
      </c>
      <c r="F98" s="31" t="n">
        <v>11.93</v>
      </c>
      <c r="G98" s="41" t="s">
        <v>211</v>
      </c>
      <c r="H98" s="31"/>
      <c r="I98" s="31"/>
      <c r="J98" s="39" t="s">
        <v>291</v>
      </c>
      <c r="L98" s="31" t="s">
        <v>213</v>
      </c>
      <c r="M98" s="31" t="s">
        <v>214</v>
      </c>
      <c r="N98" s="31" t="s">
        <v>215</v>
      </c>
      <c r="O98" s="32" t="str">
        <f aca="false">CONCATENATE(G98,", ",F98)</f>
        <v>GO, 11.93</v>
      </c>
    </row>
    <row r="99" customFormat="false" ht="15.75" hidden="false" customHeight="true" outlineLevel="0" collapsed="false">
      <c r="A99" s="30" t="n">
        <v>45253</v>
      </c>
      <c r="B99" s="31" t="s">
        <v>73</v>
      </c>
      <c r="C99" s="31" t="s">
        <v>127</v>
      </c>
      <c r="D99" s="31" t="n">
        <v>9</v>
      </c>
      <c r="E99" s="31" t="s">
        <v>35</v>
      </c>
      <c r="F99" s="31" t="n">
        <v>30</v>
      </c>
      <c r="G99" s="41" t="s">
        <v>217</v>
      </c>
      <c r="H99" s="31"/>
      <c r="I99" s="31"/>
      <c r="J99" s="39" t="s">
        <v>291</v>
      </c>
      <c r="L99" s="31" t="s">
        <v>213</v>
      </c>
      <c r="M99" s="31" t="s">
        <v>214</v>
      </c>
      <c r="N99" s="31" t="s">
        <v>215</v>
      </c>
      <c r="O99" s="32" t="str">
        <f aca="false">CONCATENATE(G99,", ",F99)</f>
        <v>NOGO, 30</v>
      </c>
    </row>
    <row r="100" customFormat="false" ht="15.75" hidden="false" customHeight="true" outlineLevel="0" collapsed="false">
      <c r="A100" s="30" t="n">
        <v>45253</v>
      </c>
      <c r="B100" s="31" t="s">
        <v>73</v>
      </c>
      <c r="C100" s="31" t="s">
        <v>127</v>
      </c>
      <c r="D100" s="31" t="n">
        <v>10</v>
      </c>
      <c r="E100" s="31" t="s">
        <v>14</v>
      </c>
      <c r="F100" s="31" t="n">
        <v>10.48</v>
      </c>
      <c r="G100" s="41" t="s">
        <v>211</v>
      </c>
      <c r="H100" s="31"/>
      <c r="I100" s="31"/>
      <c r="J100" s="39" t="s">
        <v>291</v>
      </c>
      <c r="L100" s="31" t="s">
        <v>213</v>
      </c>
      <c r="M100" s="31" t="s">
        <v>214</v>
      </c>
      <c r="N100" s="31" t="s">
        <v>215</v>
      </c>
      <c r="O100" s="32" t="str">
        <f aca="false">CONCATENATE(G100,", ",F100)</f>
        <v>GO, 10.48</v>
      </c>
    </row>
    <row r="101" customFormat="false" ht="15.75" hidden="false" customHeight="true" outlineLevel="0" collapsed="false">
      <c r="A101" s="30" t="n">
        <v>45253</v>
      </c>
      <c r="B101" s="31" t="s">
        <v>73</v>
      </c>
      <c r="C101" s="31" t="s">
        <v>127</v>
      </c>
      <c r="D101" s="31" t="n">
        <v>11</v>
      </c>
      <c r="E101" s="31" t="s">
        <v>14</v>
      </c>
      <c r="F101" s="31" t="n">
        <v>12.67</v>
      </c>
      <c r="G101" s="41" t="s">
        <v>211</v>
      </c>
      <c r="H101" s="31"/>
      <c r="I101" s="31" t="s">
        <v>292</v>
      </c>
      <c r="J101" s="39" t="s">
        <v>291</v>
      </c>
      <c r="L101" s="31" t="s">
        <v>213</v>
      </c>
      <c r="M101" s="31" t="s">
        <v>214</v>
      </c>
      <c r="N101" s="31" t="s">
        <v>215</v>
      </c>
      <c r="O101" s="32" t="str">
        <f aca="false">CONCATENATE(G101,", ",F101)</f>
        <v>GO, 12.67</v>
      </c>
    </row>
    <row r="102" customFormat="false" ht="15.75" hidden="false" customHeight="true" outlineLevel="0" collapsed="false">
      <c r="A102" s="30" t="n">
        <v>45253</v>
      </c>
      <c r="B102" s="31" t="s">
        <v>73</v>
      </c>
      <c r="C102" s="31" t="s">
        <v>127</v>
      </c>
      <c r="D102" s="31" t="n">
        <v>12</v>
      </c>
      <c r="E102" s="31" t="s">
        <v>35</v>
      </c>
      <c r="F102" s="31" t="n">
        <v>30</v>
      </c>
      <c r="G102" s="41" t="s">
        <v>217</v>
      </c>
      <c r="H102" s="31"/>
      <c r="I102" s="31"/>
      <c r="J102" s="39" t="s">
        <v>291</v>
      </c>
      <c r="L102" s="31" t="s">
        <v>213</v>
      </c>
      <c r="M102" s="31" t="s">
        <v>214</v>
      </c>
      <c r="N102" s="31" t="s">
        <v>215</v>
      </c>
      <c r="O102" s="32" t="str">
        <f aca="false">CONCATENATE(G102,", ",F102)</f>
        <v>NOGO, 30</v>
      </c>
    </row>
    <row r="103" customFormat="false" ht="15.75" hidden="false" customHeight="true" outlineLevel="0" collapsed="false">
      <c r="A103" s="30" t="n">
        <v>45253</v>
      </c>
      <c r="B103" s="31" t="s">
        <v>73</v>
      </c>
      <c r="C103" s="31" t="s">
        <v>127</v>
      </c>
      <c r="D103" s="31" t="n">
        <v>13</v>
      </c>
      <c r="E103" s="31" t="s">
        <v>112</v>
      </c>
      <c r="F103" s="31" t="n">
        <v>30</v>
      </c>
      <c r="G103" s="41" t="s">
        <v>217</v>
      </c>
      <c r="H103" s="31"/>
      <c r="I103" s="31"/>
      <c r="J103" s="39" t="s">
        <v>291</v>
      </c>
      <c r="L103" s="31" t="s">
        <v>213</v>
      </c>
      <c r="M103" s="31" t="s">
        <v>214</v>
      </c>
      <c r="N103" s="31" t="s">
        <v>215</v>
      </c>
      <c r="O103" s="32" t="str">
        <f aca="false">CONCATENATE(G103,", ",F103)</f>
        <v>NOGO, 30</v>
      </c>
    </row>
    <row r="104" customFormat="false" ht="15.75" hidden="false" customHeight="true" outlineLevel="0" collapsed="false">
      <c r="A104" s="30" t="n">
        <v>45253</v>
      </c>
      <c r="B104" s="31" t="s">
        <v>73</v>
      </c>
      <c r="C104" s="31" t="s">
        <v>127</v>
      </c>
      <c r="D104" s="31" t="n">
        <v>14</v>
      </c>
      <c r="E104" s="31" t="s">
        <v>14</v>
      </c>
      <c r="F104" s="31" t="n">
        <v>12.8</v>
      </c>
      <c r="G104" s="41" t="s">
        <v>211</v>
      </c>
      <c r="H104" s="31"/>
      <c r="I104" s="31"/>
      <c r="J104" s="39" t="s">
        <v>291</v>
      </c>
      <c r="L104" s="31" t="s">
        <v>213</v>
      </c>
      <c r="M104" s="31" t="s">
        <v>214</v>
      </c>
      <c r="N104" s="31" t="s">
        <v>215</v>
      </c>
      <c r="O104" s="32" t="str">
        <f aca="false">CONCATENATE(G104,", ",F104)</f>
        <v>GO, 12.8</v>
      </c>
    </row>
    <row r="105" customFormat="false" ht="15.75" hidden="false" customHeight="true" outlineLevel="0" collapsed="false">
      <c r="A105" s="30" t="n">
        <v>45253</v>
      </c>
      <c r="B105" s="31" t="s">
        <v>73</v>
      </c>
      <c r="C105" s="31" t="s">
        <v>127</v>
      </c>
      <c r="D105" s="31" t="n">
        <v>15</v>
      </c>
      <c r="E105" s="31" t="s">
        <v>35</v>
      </c>
      <c r="F105" s="31" t="n">
        <v>30</v>
      </c>
      <c r="G105" s="41" t="s">
        <v>217</v>
      </c>
      <c r="H105" s="31"/>
      <c r="I105" s="31"/>
      <c r="J105" s="39" t="s">
        <v>291</v>
      </c>
      <c r="L105" s="31" t="s">
        <v>213</v>
      </c>
      <c r="M105" s="31" t="s">
        <v>214</v>
      </c>
      <c r="N105" s="31" t="s">
        <v>215</v>
      </c>
      <c r="O105" s="32" t="str">
        <f aca="false">CONCATENATE(G105,", ",F105)</f>
        <v>NOGO, 30</v>
      </c>
    </row>
    <row r="106" customFormat="false" ht="15.75" hidden="false" customHeight="true" outlineLevel="0" collapsed="false">
      <c r="A106" s="30" t="n">
        <v>45255</v>
      </c>
      <c r="B106" s="31" t="s">
        <v>100</v>
      </c>
      <c r="C106" s="31" t="s">
        <v>130</v>
      </c>
      <c r="D106" s="31" t="n">
        <v>1</v>
      </c>
      <c r="E106" s="31" t="s">
        <v>14</v>
      </c>
      <c r="F106" s="31" t="n">
        <v>10.01</v>
      </c>
      <c r="G106" s="41" t="s">
        <v>211</v>
      </c>
      <c r="H106" s="31"/>
      <c r="I106" s="31" t="s">
        <v>172</v>
      </c>
      <c r="J106" s="39" t="s">
        <v>293</v>
      </c>
      <c r="L106" s="31" t="s">
        <v>213</v>
      </c>
      <c r="M106" s="31" t="s">
        <v>214</v>
      </c>
      <c r="N106" s="31" t="s">
        <v>215</v>
      </c>
      <c r="O106" s="32" t="str">
        <f aca="false">CONCATENATE(G106,", ",F106)</f>
        <v>GO, 10.01</v>
      </c>
    </row>
    <row r="107" customFormat="false" ht="15.75" hidden="false" customHeight="true" outlineLevel="0" collapsed="false">
      <c r="A107" s="30" t="n">
        <v>45255</v>
      </c>
      <c r="B107" s="31" t="s">
        <v>100</v>
      </c>
      <c r="C107" s="31" t="s">
        <v>130</v>
      </c>
      <c r="D107" s="31" t="n">
        <v>2</v>
      </c>
      <c r="E107" s="31" t="s">
        <v>35</v>
      </c>
      <c r="F107" s="31" t="n">
        <v>30</v>
      </c>
      <c r="G107" s="41" t="s">
        <v>217</v>
      </c>
      <c r="H107" s="31"/>
      <c r="I107" s="31"/>
      <c r="J107" s="39" t="s">
        <v>293</v>
      </c>
      <c r="L107" s="31" t="s">
        <v>213</v>
      </c>
      <c r="M107" s="31" t="s">
        <v>214</v>
      </c>
      <c r="N107" s="31" t="s">
        <v>215</v>
      </c>
      <c r="O107" s="32" t="str">
        <f aca="false">CONCATENATE(G107,", ",F107)</f>
        <v>NOGO, 30</v>
      </c>
    </row>
    <row r="108" customFormat="false" ht="15.75" hidden="false" customHeight="true" outlineLevel="0" collapsed="false">
      <c r="A108" s="30" t="n">
        <v>45255</v>
      </c>
      <c r="B108" s="31" t="s">
        <v>100</v>
      </c>
      <c r="C108" s="31" t="s">
        <v>130</v>
      </c>
      <c r="D108" s="31" t="n">
        <v>3</v>
      </c>
      <c r="E108" s="31" t="s">
        <v>14</v>
      </c>
      <c r="F108" s="31" t="n">
        <v>9.8</v>
      </c>
      <c r="G108" s="41" t="s">
        <v>211</v>
      </c>
      <c r="H108" s="31"/>
      <c r="I108" s="31"/>
      <c r="J108" s="39" t="s">
        <v>293</v>
      </c>
      <c r="L108" s="31" t="s">
        <v>213</v>
      </c>
      <c r="M108" s="31" t="s">
        <v>214</v>
      </c>
      <c r="N108" s="31" t="s">
        <v>215</v>
      </c>
      <c r="O108" s="32" t="str">
        <f aca="false">CONCATENATE(G108,", ",F108)</f>
        <v>GO, 9.8</v>
      </c>
    </row>
    <row r="109" customFormat="false" ht="15.75" hidden="false" customHeight="true" outlineLevel="0" collapsed="false">
      <c r="A109" s="30" t="n">
        <v>45255</v>
      </c>
      <c r="B109" s="31" t="s">
        <v>100</v>
      </c>
      <c r="C109" s="31" t="s">
        <v>130</v>
      </c>
      <c r="D109" s="31" t="n">
        <v>4</v>
      </c>
      <c r="E109" s="31" t="s">
        <v>35</v>
      </c>
      <c r="F109" s="31" t="n">
        <v>20.87</v>
      </c>
      <c r="G109" s="41" t="s">
        <v>211</v>
      </c>
      <c r="H109" s="31"/>
      <c r="I109" s="31"/>
      <c r="J109" s="39" t="s">
        <v>293</v>
      </c>
      <c r="L109" s="31" t="s">
        <v>213</v>
      </c>
      <c r="M109" s="31" t="s">
        <v>214</v>
      </c>
      <c r="N109" s="31" t="s">
        <v>215</v>
      </c>
      <c r="O109" s="32" t="str">
        <f aca="false">CONCATENATE(G109,", ",F109)</f>
        <v>GO, 20.87</v>
      </c>
    </row>
    <row r="110" customFormat="false" ht="15.75" hidden="false" customHeight="true" outlineLevel="0" collapsed="false">
      <c r="A110" s="30" t="n">
        <v>45255</v>
      </c>
      <c r="B110" s="31" t="s">
        <v>100</v>
      </c>
      <c r="C110" s="31" t="s">
        <v>130</v>
      </c>
      <c r="D110" s="31" t="n">
        <v>5</v>
      </c>
      <c r="E110" s="31" t="s">
        <v>68</v>
      </c>
      <c r="F110" s="31" t="n">
        <v>9.35</v>
      </c>
      <c r="G110" s="41" t="s">
        <v>211</v>
      </c>
      <c r="H110" s="31"/>
      <c r="I110" s="31"/>
      <c r="J110" s="39" t="s">
        <v>293</v>
      </c>
      <c r="L110" s="31" t="s">
        <v>213</v>
      </c>
      <c r="M110" s="31" t="s">
        <v>214</v>
      </c>
      <c r="N110" s="31" t="s">
        <v>215</v>
      </c>
      <c r="O110" s="32" t="str">
        <f aca="false">CONCATENATE(G110,", ",F110)</f>
        <v>GO, 9.35</v>
      </c>
    </row>
    <row r="111" customFormat="false" ht="15.75" hidden="false" customHeight="true" outlineLevel="0" collapsed="false">
      <c r="A111" s="30" t="n">
        <v>45255</v>
      </c>
      <c r="B111" s="31" t="s">
        <v>100</v>
      </c>
      <c r="C111" s="31" t="s">
        <v>130</v>
      </c>
      <c r="D111" s="31" t="n">
        <v>6</v>
      </c>
      <c r="E111" s="31" t="s">
        <v>14</v>
      </c>
      <c r="F111" s="31" t="n">
        <v>8.95</v>
      </c>
      <c r="G111" s="41" t="s">
        <v>211</v>
      </c>
      <c r="H111" s="31"/>
      <c r="I111" s="31"/>
      <c r="J111" s="39" t="s">
        <v>293</v>
      </c>
      <c r="L111" s="31" t="s">
        <v>213</v>
      </c>
      <c r="M111" s="31" t="s">
        <v>214</v>
      </c>
      <c r="N111" s="31" t="s">
        <v>215</v>
      </c>
      <c r="O111" s="32" t="str">
        <f aca="false">CONCATENATE(G111,", ",F111)</f>
        <v>GO, 8.95</v>
      </c>
    </row>
    <row r="112" customFormat="false" ht="15.75" hidden="false" customHeight="true" outlineLevel="0" collapsed="false">
      <c r="A112" s="30" t="n">
        <v>45255</v>
      </c>
      <c r="B112" s="31" t="s">
        <v>100</v>
      </c>
      <c r="C112" s="31" t="s">
        <v>130</v>
      </c>
      <c r="D112" s="31" t="n">
        <v>7</v>
      </c>
      <c r="E112" s="31" t="s">
        <v>14</v>
      </c>
      <c r="F112" s="31" t="n">
        <v>10.57</v>
      </c>
      <c r="G112" s="41" t="s">
        <v>211</v>
      </c>
      <c r="H112" s="31"/>
      <c r="I112" s="31" t="s">
        <v>173</v>
      </c>
      <c r="J112" s="39" t="s">
        <v>293</v>
      </c>
      <c r="L112" s="31" t="s">
        <v>213</v>
      </c>
      <c r="M112" s="31" t="s">
        <v>214</v>
      </c>
      <c r="N112" s="31" t="s">
        <v>215</v>
      </c>
      <c r="O112" s="32" t="str">
        <f aca="false">CONCATENATE(G112,", ",F112)</f>
        <v>GO, 10.57</v>
      </c>
    </row>
    <row r="113" customFormat="false" ht="15.75" hidden="false" customHeight="true" outlineLevel="0" collapsed="false">
      <c r="A113" s="30" t="n">
        <v>45255</v>
      </c>
      <c r="B113" s="31" t="s">
        <v>100</v>
      </c>
      <c r="C113" s="31" t="s">
        <v>130</v>
      </c>
      <c r="D113" s="31" t="n">
        <v>8</v>
      </c>
      <c r="E113" s="31" t="s">
        <v>35</v>
      </c>
      <c r="F113" s="31" t="n">
        <v>30</v>
      </c>
      <c r="G113" s="41" t="s">
        <v>217</v>
      </c>
      <c r="H113" s="31"/>
      <c r="I113" s="31" t="s">
        <v>294</v>
      </c>
      <c r="J113" s="39" t="s">
        <v>293</v>
      </c>
      <c r="L113" s="31" t="s">
        <v>213</v>
      </c>
      <c r="M113" s="31" t="s">
        <v>214</v>
      </c>
      <c r="N113" s="31" t="s">
        <v>215</v>
      </c>
      <c r="O113" s="32" t="str">
        <f aca="false">CONCATENATE(G113,", ",F113)</f>
        <v>NOGO, 30</v>
      </c>
    </row>
    <row r="114" customFormat="false" ht="15.75" hidden="false" customHeight="true" outlineLevel="0" collapsed="false">
      <c r="A114" s="30" t="n">
        <v>45255</v>
      </c>
      <c r="B114" s="31" t="s">
        <v>100</v>
      </c>
      <c r="C114" s="31" t="s">
        <v>130</v>
      </c>
      <c r="D114" s="31" t="n">
        <v>9</v>
      </c>
      <c r="E114" s="31" t="s">
        <v>70</v>
      </c>
      <c r="F114" s="31" t="n">
        <v>9.48</v>
      </c>
      <c r="G114" s="41" t="s">
        <v>211</v>
      </c>
      <c r="H114" s="31"/>
      <c r="I114" s="31"/>
      <c r="J114" s="39" t="s">
        <v>293</v>
      </c>
      <c r="L114" s="31" t="s">
        <v>213</v>
      </c>
      <c r="M114" s="31" t="s">
        <v>214</v>
      </c>
      <c r="N114" s="31" t="s">
        <v>215</v>
      </c>
      <c r="O114" s="32" t="str">
        <f aca="false">CONCATENATE(G114,", ",F114)</f>
        <v>GO, 9.48</v>
      </c>
    </row>
    <row r="115" customFormat="false" ht="15.75" hidden="false" customHeight="true" outlineLevel="0" collapsed="false">
      <c r="A115" s="30" t="n">
        <v>45255</v>
      </c>
      <c r="B115" s="31" t="s">
        <v>100</v>
      </c>
      <c r="C115" s="31" t="s">
        <v>130</v>
      </c>
      <c r="D115" s="31" t="n">
        <v>10</v>
      </c>
      <c r="E115" s="31" t="s">
        <v>14</v>
      </c>
      <c r="F115" s="31" t="n">
        <v>11.14</v>
      </c>
      <c r="G115" s="41" t="s">
        <v>211</v>
      </c>
      <c r="H115" s="31"/>
      <c r="I115" s="31"/>
      <c r="J115" s="39" t="s">
        <v>293</v>
      </c>
      <c r="L115" s="31" t="s">
        <v>213</v>
      </c>
      <c r="M115" s="31" t="s">
        <v>214</v>
      </c>
      <c r="N115" s="31" t="s">
        <v>215</v>
      </c>
      <c r="O115" s="32" t="str">
        <f aca="false">CONCATENATE(G115,", ",F115)</f>
        <v>GO, 11.14</v>
      </c>
    </row>
    <row r="116" customFormat="false" ht="15.75" hidden="false" customHeight="true" outlineLevel="0" collapsed="false">
      <c r="A116" s="30" t="n">
        <v>45255</v>
      </c>
      <c r="B116" s="31" t="s">
        <v>100</v>
      </c>
      <c r="C116" s="31" t="s">
        <v>130</v>
      </c>
      <c r="D116" s="31" t="n">
        <v>11</v>
      </c>
      <c r="E116" s="31" t="s">
        <v>35</v>
      </c>
      <c r="F116" s="31" t="n">
        <v>30</v>
      </c>
      <c r="G116" s="41" t="s">
        <v>217</v>
      </c>
      <c r="H116" s="31"/>
      <c r="I116" s="31"/>
      <c r="J116" s="39" t="s">
        <v>293</v>
      </c>
      <c r="L116" s="31" t="s">
        <v>213</v>
      </c>
      <c r="M116" s="31" t="s">
        <v>214</v>
      </c>
      <c r="N116" s="31" t="s">
        <v>215</v>
      </c>
      <c r="O116" s="32" t="str">
        <f aca="false">CONCATENATE(G116,", ",F116)</f>
        <v>NOGO, 30</v>
      </c>
    </row>
    <row r="117" customFormat="false" ht="15.75" hidden="false" customHeight="true" outlineLevel="0" collapsed="false">
      <c r="A117" s="30" t="n">
        <v>45255</v>
      </c>
      <c r="B117" s="31" t="s">
        <v>100</v>
      </c>
      <c r="C117" s="31" t="s">
        <v>130</v>
      </c>
      <c r="D117" s="31" t="n">
        <v>12</v>
      </c>
      <c r="E117" s="31" t="s">
        <v>35</v>
      </c>
      <c r="F117" s="31" t="n">
        <v>13.46</v>
      </c>
      <c r="G117" s="41" t="s">
        <v>211</v>
      </c>
      <c r="H117" s="31"/>
      <c r="I117" s="31"/>
      <c r="J117" s="39" t="s">
        <v>293</v>
      </c>
      <c r="L117" s="31" t="s">
        <v>213</v>
      </c>
      <c r="M117" s="31" t="s">
        <v>214</v>
      </c>
      <c r="N117" s="31" t="s">
        <v>215</v>
      </c>
      <c r="O117" s="32" t="str">
        <f aca="false">CONCATENATE(G117,", ",F117)</f>
        <v>GO, 13.46</v>
      </c>
    </row>
    <row r="118" customFormat="false" ht="15.75" hidden="false" customHeight="true" outlineLevel="0" collapsed="false">
      <c r="A118" s="30" t="n">
        <v>45255</v>
      </c>
      <c r="B118" s="31" t="s">
        <v>100</v>
      </c>
      <c r="C118" s="31" t="s">
        <v>130</v>
      </c>
      <c r="D118" s="31" t="n">
        <v>13</v>
      </c>
      <c r="E118" s="31" t="s">
        <v>14</v>
      </c>
      <c r="F118" s="31" t="n">
        <v>8.49</v>
      </c>
      <c r="G118" s="41" t="s">
        <v>211</v>
      </c>
      <c r="H118" s="31"/>
      <c r="I118" s="31"/>
      <c r="J118" s="39" t="s">
        <v>293</v>
      </c>
      <c r="L118" s="31" t="s">
        <v>213</v>
      </c>
      <c r="M118" s="31" t="s">
        <v>214</v>
      </c>
      <c r="N118" s="31" t="s">
        <v>215</v>
      </c>
      <c r="O118" s="32" t="str">
        <f aca="false">CONCATENATE(G118,", ",F118)</f>
        <v>GO, 8.49</v>
      </c>
    </row>
    <row r="119" customFormat="false" ht="15.75" hidden="false" customHeight="true" outlineLevel="0" collapsed="false">
      <c r="A119" s="30" t="n">
        <v>45255</v>
      </c>
      <c r="B119" s="31" t="s">
        <v>100</v>
      </c>
      <c r="C119" s="31" t="s">
        <v>130</v>
      </c>
      <c r="D119" s="31" t="n">
        <v>14</v>
      </c>
      <c r="E119" s="31" t="s">
        <v>112</v>
      </c>
      <c r="F119" s="31" t="n">
        <v>30</v>
      </c>
      <c r="G119" s="41" t="s">
        <v>217</v>
      </c>
      <c r="H119" s="31"/>
      <c r="I119" s="31" t="s">
        <v>174</v>
      </c>
      <c r="J119" s="39" t="s">
        <v>293</v>
      </c>
      <c r="L119" s="31" t="s">
        <v>213</v>
      </c>
      <c r="M119" s="31" t="s">
        <v>214</v>
      </c>
      <c r="N119" s="31" t="s">
        <v>215</v>
      </c>
      <c r="O119" s="32" t="str">
        <f aca="false">CONCATENATE(G119,", ",F119)</f>
        <v>NOGO, 30</v>
      </c>
    </row>
    <row r="120" customFormat="false" ht="15.75" hidden="false" customHeight="true" outlineLevel="0" collapsed="false">
      <c r="A120" s="30" t="n">
        <v>45255</v>
      </c>
      <c r="B120" s="31" t="s">
        <v>100</v>
      </c>
      <c r="C120" s="31" t="s">
        <v>130</v>
      </c>
      <c r="D120" s="31" t="n">
        <v>15</v>
      </c>
      <c r="E120" s="31" t="s">
        <v>35</v>
      </c>
      <c r="F120" s="31" t="n">
        <v>30</v>
      </c>
      <c r="G120" s="41" t="s">
        <v>217</v>
      </c>
      <c r="H120" s="31"/>
      <c r="I120" s="31" t="s">
        <v>54</v>
      </c>
      <c r="J120" s="39" t="s">
        <v>293</v>
      </c>
      <c r="L120" s="31" t="s">
        <v>213</v>
      </c>
      <c r="M120" s="31" t="s">
        <v>214</v>
      </c>
      <c r="N120" s="31" t="s">
        <v>215</v>
      </c>
      <c r="O120" s="32" t="str">
        <f aca="false">CONCATENATE(G120,", ",F120)</f>
        <v>NOGO, 30</v>
      </c>
    </row>
    <row r="121" customFormat="false" ht="15.75" hidden="false" customHeight="true" outlineLevel="0" collapsed="false">
      <c r="A121" s="30" t="n">
        <v>45256</v>
      </c>
      <c r="B121" s="31" t="s">
        <v>103</v>
      </c>
      <c r="C121" s="31" t="s">
        <v>130</v>
      </c>
      <c r="D121" s="31" t="n">
        <v>1</v>
      </c>
      <c r="E121" s="31" t="s">
        <v>14</v>
      </c>
      <c r="F121" s="31" t="n">
        <v>11.01</v>
      </c>
      <c r="G121" s="41" t="s">
        <v>211</v>
      </c>
      <c r="H121" s="31"/>
      <c r="I121" s="31"/>
      <c r="J121" s="39" t="s">
        <v>295</v>
      </c>
      <c r="L121" s="31" t="s">
        <v>213</v>
      </c>
      <c r="M121" s="31" t="s">
        <v>214</v>
      </c>
      <c r="N121" s="31" t="s">
        <v>215</v>
      </c>
      <c r="O121" s="32" t="str">
        <f aca="false">CONCATENATE(G121,", ",F121)</f>
        <v>GO, 11.01</v>
      </c>
    </row>
    <row r="122" customFormat="false" ht="15.75" hidden="false" customHeight="true" outlineLevel="0" collapsed="false">
      <c r="A122" s="30" t="n">
        <v>45256</v>
      </c>
      <c r="B122" s="31" t="s">
        <v>103</v>
      </c>
      <c r="C122" s="31" t="s">
        <v>130</v>
      </c>
      <c r="D122" s="31" t="n">
        <v>2</v>
      </c>
      <c r="E122" s="31" t="s">
        <v>35</v>
      </c>
      <c r="F122" s="31" t="n">
        <v>12.99</v>
      </c>
      <c r="G122" s="41" t="s">
        <v>211</v>
      </c>
      <c r="H122" s="31"/>
      <c r="I122" s="31" t="s">
        <v>20</v>
      </c>
      <c r="J122" s="39" t="s">
        <v>295</v>
      </c>
      <c r="L122" s="31" t="s">
        <v>213</v>
      </c>
      <c r="M122" s="31" t="s">
        <v>214</v>
      </c>
      <c r="N122" s="31" t="s">
        <v>215</v>
      </c>
      <c r="O122" s="32" t="str">
        <f aca="false">CONCATENATE(G122,", ",F122)</f>
        <v>GO, 12.99</v>
      </c>
    </row>
    <row r="123" customFormat="false" ht="15.75" hidden="false" customHeight="true" outlineLevel="0" collapsed="false">
      <c r="A123" s="30" t="n">
        <v>45256</v>
      </c>
      <c r="B123" s="31" t="s">
        <v>103</v>
      </c>
      <c r="C123" s="31" t="s">
        <v>130</v>
      </c>
      <c r="D123" s="31" t="n">
        <v>3</v>
      </c>
      <c r="E123" s="31" t="s">
        <v>68</v>
      </c>
      <c r="F123" s="31" t="n">
        <v>10.07</v>
      </c>
      <c r="G123" s="41" t="s">
        <v>211</v>
      </c>
      <c r="H123" s="31"/>
      <c r="I123" s="31"/>
      <c r="J123" s="39" t="s">
        <v>295</v>
      </c>
      <c r="L123" s="31" t="s">
        <v>213</v>
      </c>
      <c r="M123" s="31" t="s">
        <v>214</v>
      </c>
      <c r="N123" s="31" t="s">
        <v>215</v>
      </c>
      <c r="O123" s="32" t="str">
        <f aca="false">CONCATENATE(G123,", ",F123)</f>
        <v>GO, 10.07</v>
      </c>
    </row>
    <row r="124" customFormat="false" ht="15.75" hidden="false" customHeight="true" outlineLevel="0" collapsed="false">
      <c r="A124" s="30" t="n">
        <v>45256</v>
      </c>
      <c r="B124" s="31" t="s">
        <v>103</v>
      </c>
      <c r="C124" s="31" t="s">
        <v>130</v>
      </c>
      <c r="D124" s="31" t="n">
        <v>4</v>
      </c>
      <c r="E124" s="31" t="s">
        <v>35</v>
      </c>
      <c r="F124" s="31" t="n">
        <v>12.67</v>
      </c>
      <c r="G124" s="41" t="s">
        <v>211</v>
      </c>
      <c r="H124" s="31"/>
      <c r="I124" s="31" t="s">
        <v>182</v>
      </c>
      <c r="J124" s="39" t="s">
        <v>295</v>
      </c>
      <c r="L124" s="31" t="s">
        <v>213</v>
      </c>
      <c r="M124" s="31" t="s">
        <v>214</v>
      </c>
      <c r="N124" s="31" t="s">
        <v>215</v>
      </c>
      <c r="O124" s="32" t="str">
        <f aca="false">CONCATENATE(G124,", ",F124)</f>
        <v>GO, 12.67</v>
      </c>
    </row>
    <row r="125" customFormat="false" ht="15.75" hidden="false" customHeight="true" outlineLevel="0" collapsed="false">
      <c r="A125" s="30" t="n">
        <v>45256</v>
      </c>
      <c r="B125" s="31" t="s">
        <v>103</v>
      </c>
      <c r="C125" s="31" t="s">
        <v>130</v>
      </c>
      <c r="D125" s="31" t="n">
        <v>5</v>
      </c>
      <c r="E125" s="31" t="s">
        <v>14</v>
      </c>
      <c r="F125" s="31" t="n">
        <v>9.87</v>
      </c>
      <c r="G125" s="41" t="s">
        <v>211</v>
      </c>
      <c r="H125" s="31"/>
      <c r="I125" s="31"/>
      <c r="J125" s="39" t="s">
        <v>295</v>
      </c>
      <c r="L125" s="31" t="s">
        <v>213</v>
      </c>
      <c r="M125" s="31" t="s">
        <v>214</v>
      </c>
      <c r="N125" s="31" t="s">
        <v>215</v>
      </c>
      <c r="O125" s="32" t="str">
        <f aca="false">CONCATENATE(G125,", ",F125)</f>
        <v>GO, 9.87</v>
      </c>
    </row>
    <row r="126" customFormat="false" ht="15.75" hidden="false" customHeight="true" outlineLevel="0" collapsed="false">
      <c r="A126" s="30" t="n">
        <v>45256</v>
      </c>
      <c r="B126" s="31" t="s">
        <v>103</v>
      </c>
      <c r="C126" s="31" t="s">
        <v>130</v>
      </c>
      <c r="D126" s="31" t="n">
        <v>6</v>
      </c>
      <c r="E126" s="31" t="s">
        <v>14</v>
      </c>
      <c r="F126" s="31" t="n">
        <v>12.41</v>
      </c>
      <c r="G126" s="41" t="s">
        <v>211</v>
      </c>
      <c r="H126" s="31"/>
      <c r="I126" s="31"/>
      <c r="J126" s="39" t="s">
        <v>295</v>
      </c>
      <c r="L126" s="31" t="s">
        <v>213</v>
      </c>
      <c r="M126" s="31" t="s">
        <v>214</v>
      </c>
      <c r="N126" s="31" t="s">
        <v>215</v>
      </c>
      <c r="O126" s="32" t="str">
        <f aca="false">CONCATENATE(G126,", ",F126)</f>
        <v>GO, 12.41</v>
      </c>
    </row>
    <row r="127" customFormat="false" ht="15.75" hidden="false" customHeight="true" outlineLevel="0" collapsed="false">
      <c r="A127" s="30" t="n">
        <v>45256</v>
      </c>
      <c r="B127" s="31" t="s">
        <v>103</v>
      </c>
      <c r="C127" s="31" t="s">
        <v>130</v>
      </c>
      <c r="D127" s="31" t="n">
        <v>7</v>
      </c>
      <c r="E127" s="31" t="s">
        <v>35</v>
      </c>
      <c r="F127" s="31" t="n">
        <v>30</v>
      </c>
      <c r="G127" s="41" t="s">
        <v>217</v>
      </c>
      <c r="H127" s="31"/>
      <c r="I127" s="31"/>
      <c r="J127" s="39" t="s">
        <v>295</v>
      </c>
      <c r="L127" s="31" t="s">
        <v>213</v>
      </c>
      <c r="M127" s="31" t="s">
        <v>214</v>
      </c>
      <c r="N127" s="31" t="s">
        <v>215</v>
      </c>
      <c r="O127" s="32" t="str">
        <f aca="false">CONCATENATE(G127,", ",F127)</f>
        <v>NOGO, 30</v>
      </c>
    </row>
    <row r="128" customFormat="false" ht="15.75" hidden="false" customHeight="true" outlineLevel="0" collapsed="false">
      <c r="A128" s="30" t="n">
        <v>45256</v>
      </c>
      <c r="B128" s="31" t="s">
        <v>103</v>
      </c>
      <c r="C128" s="31" t="s">
        <v>130</v>
      </c>
      <c r="D128" s="31" t="n">
        <v>8</v>
      </c>
      <c r="E128" s="31" t="s">
        <v>70</v>
      </c>
      <c r="F128" s="31" t="n">
        <v>11.2</v>
      </c>
      <c r="G128" s="41" t="s">
        <v>211</v>
      </c>
      <c r="H128" s="31"/>
      <c r="I128" s="31"/>
      <c r="J128" s="39" t="s">
        <v>295</v>
      </c>
      <c r="L128" s="31" t="s">
        <v>213</v>
      </c>
      <c r="M128" s="31" t="s">
        <v>214</v>
      </c>
      <c r="N128" s="31" t="s">
        <v>215</v>
      </c>
      <c r="O128" s="32" t="str">
        <f aca="false">CONCATENATE(G128,", ",F128)</f>
        <v>GO, 11.2</v>
      </c>
    </row>
    <row r="129" customFormat="false" ht="15.75" hidden="false" customHeight="true" outlineLevel="0" collapsed="false">
      <c r="A129" s="30" t="n">
        <v>45256</v>
      </c>
      <c r="B129" s="31" t="s">
        <v>103</v>
      </c>
      <c r="C129" s="31" t="s">
        <v>130</v>
      </c>
      <c r="D129" s="31" t="n">
        <v>9</v>
      </c>
      <c r="E129" s="31" t="s">
        <v>14</v>
      </c>
      <c r="F129" s="31" t="n">
        <v>10.4</v>
      </c>
      <c r="G129" s="41" t="s">
        <v>211</v>
      </c>
      <c r="H129" s="31"/>
      <c r="I129" s="31"/>
      <c r="J129" s="39" t="s">
        <v>295</v>
      </c>
      <c r="L129" s="31" t="s">
        <v>213</v>
      </c>
      <c r="M129" s="31" t="s">
        <v>214</v>
      </c>
      <c r="N129" s="31" t="s">
        <v>215</v>
      </c>
      <c r="O129" s="32" t="str">
        <f aca="false">CONCATENATE(G129,", ",F129)</f>
        <v>GO, 10.4</v>
      </c>
    </row>
    <row r="130" customFormat="false" ht="15.75" hidden="false" customHeight="true" outlineLevel="0" collapsed="false">
      <c r="A130" s="30" t="n">
        <v>45256</v>
      </c>
      <c r="B130" s="31" t="s">
        <v>103</v>
      </c>
      <c r="C130" s="31" t="s">
        <v>130</v>
      </c>
      <c r="D130" s="31" t="n">
        <v>10</v>
      </c>
      <c r="E130" s="31" t="s">
        <v>35</v>
      </c>
      <c r="F130" s="31" t="n">
        <v>30</v>
      </c>
      <c r="G130" s="41" t="s">
        <v>217</v>
      </c>
      <c r="H130" s="31"/>
      <c r="I130" s="31"/>
      <c r="J130" s="39" t="s">
        <v>295</v>
      </c>
      <c r="L130" s="31" t="s">
        <v>213</v>
      </c>
      <c r="M130" s="31" t="s">
        <v>214</v>
      </c>
      <c r="N130" s="31" t="s">
        <v>215</v>
      </c>
      <c r="O130" s="32" t="str">
        <f aca="false">CONCATENATE(G130,", ",F130)</f>
        <v>NOGO, 30</v>
      </c>
    </row>
    <row r="131" customFormat="false" ht="15.75" hidden="false" customHeight="true" outlineLevel="0" collapsed="false">
      <c r="A131" s="30" t="n">
        <v>45256</v>
      </c>
      <c r="B131" s="31" t="s">
        <v>103</v>
      </c>
      <c r="C131" s="31" t="s">
        <v>130</v>
      </c>
      <c r="D131" s="31" t="n">
        <v>11</v>
      </c>
      <c r="E131" s="31" t="s">
        <v>35</v>
      </c>
      <c r="F131" s="31" t="n">
        <v>30</v>
      </c>
      <c r="G131" s="41" t="s">
        <v>217</v>
      </c>
      <c r="H131" s="31"/>
      <c r="I131" s="31"/>
      <c r="J131" s="39" t="s">
        <v>295</v>
      </c>
      <c r="L131" s="31" t="s">
        <v>213</v>
      </c>
      <c r="M131" s="31" t="s">
        <v>214</v>
      </c>
      <c r="N131" s="31" t="s">
        <v>215</v>
      </c>
      <c r="O131" s="32" t="str">
        <f aca="false">CONCATENATE(G131,", ",F131)</f>
        <v>NOGO, 30</v>
      </c>
    </row>
    <row r="132" customFormat="false" ht="15.75" hidden="false" customHeight="true" outlineLevel="0" collapsed="false">
      <c r="A132" s="30" t="n">
        <v>45256</v>
      </c>
      <c r="B132" s="31" t="s">
        <v>103</v>
      </c>
      <c r="C132" s="31" t="s">
        <v>130</v>
      </c>
      <c r="D132" s="31" t="n">
        <v>12</v>
      </c>
      <c r="E132" s="31" t="s">
        <v>14</v>
      </c>
      <c r="F132" s="31" t="n">
        <v>10.2</v>
      </c>
      <c r="G132" s="41" t="s">
        <v>211</v>
      </c>
      <c r="H132" s="31"/>
      <c r="I132" s="31"/>
      <c r="J132" s="39" t="s">
        <v>295</v>
      </c>
      <c r="L132" s="31" t="s">
        <v>213</v>
      </c>
      <c r="M132" s="31" t="s">
        <v>214</v>
      </c>
      <c r="N132" s="31" t="s">
        <v>215</v>
      </c>
      <c r="O132" s="32" t="str">
        <f aca="false">CONCATENATE(G132,", ",F132)</f>
        <v>GO, 10.2</v>
      </c>
    </row>
    <row r="133" customFormat="false" ht="15.75" hidden="false" customHeight="true" outlineLevel="0" collapsed="false">
      <c r="A133" s="30" t="n">
        <v>45256</v>
      </c>
      <c r="B133" s="31" t="s">
        <v>103</v>
      </c>
      <c r="C133" s="31" t="s">
        <v>130</v>
      </c>
      <c r="D133" s="31" t="n">
        <v>13</v>
      </c>
      <c r="E133" s="31" t="s">
        <v>112</v>
      </c>
      <c r="F133" s="31" t="n">
        <v>30</v>
      </c>
      <c r="G133" s="41" t="s">
        <v>217</v>
      </c>
      <c r="H133" s="31"/>
      <c r="I133" s="31"/>
      <c r="J133" s="39" t="s">
        <v>295</v>
      </c>
      <c r="L133" s="31" t="s">
        <v>213</v>
      </c>
      <c r="M133" s="31" t="s">
        <v>214</v>
      </c>
      <c r="N133" s="31" t="s">
        <v>215</v>
      </c>
      <c r="O133" s="32" t="str">
        <f aca="false">CONCATENATE(G133,", ",F133)</f>
        <v>NOGO, 30</v>
      </c>
    </row>
    <row r="134" customFormat="false" ht="15.75" hidden="false" customHeight="true" outlineLevel="0" collapsed="false">
      <c r="A134" s="30" t="n">
        <v>45256</v>
      </c>
      <c r="B134" s="31" t="s">
        <v>103</v>
      </c>
      <c r="C134" s="31" t="s">
        <v>130</v>
      </c>
      <c r="D134" s="31" t="n">
        <v>14</v>
      </c>
      <c r="E134" s="31" t="s">
        <v>14</v>
      </c>
      <c r="F134" s="31" t="n">
        <v>11.39</v>
      </c>
      <c r="G134" s="41" t="s">
        <v>211</v>
      </c>
      <c r="H134" s="31"/>
      <c r="I134" s="31"/>
      <c r="J134" s="39" t="s">
        <v>295</v>
      </c>
      <c r="L134" s="31" t="s">
        <v>213</v>
      </c>
      <c r="M134" s="31" t="s">
        <v>214</v>
      </c>
      <c r="N134" s="31" t="s">
        <v>215</v>
      </c>
      <c r="O134" s="32" t="str">
        <f aca="false">CONCATENATE(G134,", ",F134)</f>
        <v>GO, 11.39</v>
      </c>
    </row>
    <row r="135" customFormat="false" ht="15.75" hidden="false" customHeight="true" outlineLevel="0" collapsed="false">
      <c r="A135" s="30" t="n">
        <v>45256</v>
      </c>
      <c r="B135" s="31" t="s">
        <v>103</v>
      </c>
      <c r="C135" s="31" t="s">
        <v>130</v>
      </c>
      <c r="D135" s="31" t="n">
        <v>15</v>
      </c>
      <c r="E135" s="31" t="s">
        <v>35</v>
      </c>
      <c r="F135" s="31" t="n">
        <v>30</v>
      </c>
      <c r="G135" s="41" t="s">
        <v>217</v>
      </c>
      <c r="H135" s="31"/>
      <c r="I135" s="31"/>
      <c r="J135" s="39" t="s">
        <v>295</v>
      </c>
      <c r="L135" s="31" t="s">
        <v>213</v>
      </c>
      <c r="M135" s="31" t="s">
        <v>214</v>
      </c>
      <c r="N135" s="31" t="s">
        <v>215</v>
      </c>
      <c r="O135" s="32" t="str">
        <f aca="false">CONCATENATE(G135,", ",F135)</f>
        <v>NOGO, 30</v>
      </c>
    </row>
    <row r="136" customFormat="false" ht="15.75" hidden="false" customHeight="true" outlineLevel="0" collapsed="false">
      <c r="A136" s="30" t="n">
        <v>45256</v>
      </c>
      <c r="B136" s="31" t="s">
        <v>103</v>
      </c>
      <c r="C136" s="31" t="s">
        <v>122</v>
      </c>
      <c r="D136" s="31" t="n">
        <v>1</v>
      </c>
      <c r="E136" s="31" t="s">
        <v>14</v>
      </c>
      <c r="F136" s="31" t="n">
        <v>9.29</v>
      </c>
      <c r="G136" s="41" t="s">
        <v>211</v>
      </c>
      <c r="H136" s="31"/>
      <c r="I136" s="31" t="s">
        <v>183</v>
      </c>
      <c r="J136" s="39" t="s">
        <v>296</v>
      </c>
      <c r="L136" s="31" t="s">
        <v>213</v>
      </c>
      <c r="M136" s="31" t="s">
        <v>214</v>
      </c>
      <c r="N136" s="31" t="s">
        <v>215</v>
      </c>
      <c r="O136" s="32" t="str">
        <f aca="false">CONCATENATE(G136,", ",F136)</f>
        <v>GO, 9.29</v>
      </c>
    </row>
    <row r="137" customFormat="false" ht="15.75" hidden="false" customHeight="true" outlineLevel="0" collapsed="false">
      <c r="A137" s="30" t="n">
        <v>45256</v>
      </c>
      <c r="B137" s="31" t="s">
        <v>103</v>
      </c>
      <c r="C137" s="31" t="s">
        <v>122</v>
      </c>
      <c r="D137" s="31" t="n">
        <v>2</v>
      </c>
      <c r="E137" s="31" t="s">
        <v>35</v>
      </c>
      <c r="F137" s="31" t="n">
        <v>30</v>
      </c>
      <c r="G137" s="41" t="s">
        <v>217</v>
      </c>
      <c r="H137" s="31"/>
      <c r="I137" s="31"/>
      <c r="J137" s="39" t="s">
        <v>296</v>
      </c>
      <c r="L137" s="31" t="s">
        <v>213</v>
      </c>
      <c r="M137" s="31" t="s">
        <v>214</v>
      </c>
      <c r="N137" s="31" t="s">
        <v>215</v>
      </c>
      <c r="O137" s="32" t="str">
        <f aca="false">CONCATENATE(G137,", ",F137)</f>
        <v>NOGO, 30</v>
      </c>
    </row>
    <row r="138" customFormat="false" ht="15.75" hidden="false" customHeight="true" outlineLevel="0" collapsed="false">
      <c r="A138" s="30" t="n">
        <v>45256</v>
      </c>
      <c r="B138" s="31" t="s">
        <v>103</v>
      </c>
      <c r="C138" s="31" t="s">
        <v>122</v>
      </c>
      <c r="D138" s="31" t="n">
        <v>3</v>
      </c>
      <c r="E138" s="31" t="s">
        <v>68</v>
      </c>
      <c r="F138" s="31" t="n">
        <v>10.36</v>
      </c>
      <c r="G138" s="41" t="s">
        <v>211</v>
      </c>
      <c r="H138" s="31"/>
      <c r="I138" s="31"/>
      <c r="J138" s="39" t="s">
        <v>296</v>
      </c>
      <c r="L138" s="31" t="s">
        <v>213</v>
      </c>
      <c r="M138" s="31" t="s">
        <v>214</v>
      </c>
      <c r="N138" s="31" t="s">
        <v>215</v>
      </c>
      <c r="O138" s="32" t="str">
        <f aca="false">CONCATENATE(G138,", ",F138)</f>
        <v>GO, 10.36</v>
      </c>
    </row>
    <row r="139" customFormat="false" ht="15.75" hidden="false" customHeight="true" outlineLevel="0" collapsed="false">
      <c r="A139" s="30" t="n">
        <v>45256</v>
      </c>
      <c r="B139" s="31" t="s">
        <v>103</v>
      </c>
      <c r="C139" s="31" t="s">
        <v>122</v>
      </c>
      <c r="D139" s="31" t="n">
        <v>4</v>
      </c>
      <c r="E139" s="31" t="s">
        <v>35</v>
      </c>
      <c r="F139" s="31" t="n">
        <v>30</v>
      </c>
      <c r="G139" s="41" t="s">
        <v>217</v>
      </c>
      <c r="H139" s="31"/>
      <c r="I139" s="31"/>
      <c r="J139" s="39" t="s">
        <v>296</v>
      </c>
      <c r="L139" s="31" t="s">
        <v>213</v>
      </c>
      <c r="M139" s="31" t="s">
        <v>214</v>
      </c>
      <c r="N139" s="31" t="s">
        <v>215</v>
      </c>
      <c r="O139" s="32" t="str">
        <f aca="false">CONCATENATE(G139,", ",F139)</f>
        <v>NOGO, 30</v>
      </c>
    </row>
    <row r="140" customFormat="false" ht="15.75" hidden="false" customHeight="true" outlineLevel="0" collapsed="false">
      <c r="A140" s="30" t="n">
        <v>45256</v>
      </c>
      <c r="B140" s="31" t="s">
        <v>103</v>
      </c>
      <c r="C140" s="31" t="s">
        <v>122</v>
      </c>
      <c r="D140" s="31" t="n">
        <v>5</v>
      </c>
      <c r="E140" s="31" t="s">
        <v>14</v>
      </c>
      <c r="F140" s="31" t="n">
        <v>9.87</v>
      </c>
      <c r="G140" s="41" t="s">
        <v>211</v>
      </c>
      <c r="H140" s="31"/>
      <c r="I140" s="31"/>
      <c r="J140" s="39" t="s">
        <v>296</v>
      </c>
      <c r="L140" s="31" t="s">
        <v>213</v>
      </c>
      <c r="M140" s="31" t="s">
        <v>214</v>
      </c>
      <c r="N140" s="31" t="s">
        <v>215</v>
      </c>
      <c r="O140" s="32" t="str">
        <f aca="false">CONCATENATE(G140,", ",F140)</f>
        <v>GO, 9.87</v>
      </c>
    </row>
    <row r="141" customFormat="false" ht="15.75" hidden="false" customHeight="true" outlineLevel="0" collapsed="false">
      <c r="A141" s="30" t="n">
        <v>45256</v>
      </c>
      <c r="B141" s="31" t="s">
        <v>103</v>
      </c>
      <c r="C141" s="31" t="s">
        <v>122</v>
      </c>
      <c r="D141" s="31" t="n">
        <v>6</v>
      </c>
      <c r="E141" s="31" t="s">
        <v>14</v>
      </c>
      <c r="F141" s="31" t="n">
        <v>9.33</v>
      </c>
      <c r="G141" s="41" t="s">
        <v>211</v>
      </c>
      <c r="H141" s="31"/>
      <c r="I141" s="31"/>
      <c r="J141" s="39" t="s">
        <v>296</v>
      </c>
      <c r="L141" s="31" t="s">
        <v>213</v>
      </c>
      <c r="M141" s="31" t="s">
        <v>214</v>
      </c>
      <c r="N141" s="31" t="s">
        <v>215</v>
      </c>
      <c r="O141" s="32" t="str">
        <f aca="false">CONCATENATE(G141,", ",F141)</f>
        <v>GO, 9.33</v>
      </c>
    </row>
    <row r="142" customFormat="false" ht="15.75" hidden="false" customHeight="true" outlineLevel="0" collapsed="false">
      <c r="A142" s="30" t="n">
        <v>45256</v>
      </c>
      <c r="B142" s="31" t="s">
        <v>103</v>
      </c>
      <c r="C142" s="31" t="s">
        <v>122</v>
      </c>
      <c r="D142" s="31" t="n">
        <v>7</v>
      </c>
      <c r="E142" s="31" t="s">
        <v>35</v>
      </c>
      <c r="F142" s="31" t="n">
        <v>30</v>
      </c>
      <c r="G142" s="41" t="s">
        <v>217</v>
      </c>
      <c r="H142" s="31"/>
      <c r="I142" s="31"/>
      <c r="J142" s="39" t="s">
        <v>296</v>
      </c>
      <c r="L142" s="31" t="s">
        <v>213</v>
      </c>
      <c r="M142" s="31" t="s">
        <v>214</v>
      </c>
      <c r="N142" s="31" t="s">
        <v>215</v>
      </c>
      <c r="O142" s="32" t="str">
        <f aca="false">CONCATENATE(G142,", ",F142)</f>
        <v>NOGO, 30</v>
      </c>
    </row>
    <row r="143" customFormat="false" ht="15.75" hidden="false" customHeight="true" outlineLevel="0" collapsed="false">
      <c r="A143" s="30" t="n">
        <v>45256</v>
      </c>
      <c r="B143" s="31" t="s">
        <v>103</v>
      </c>
      <c r="C143" s="31" t="s">
        <v>122</v>
      </c>
      <c r="D143" s="31" t="n">
        <v>8</v>
      </c>
      <c r="E143" s="31" t="s">
        <v>70</v>
      </c>
      <c r="F143" s="31" t="n">
        <v>8.76</v>
      </c>
      <c r="G143" s="41" t="s">
        <v>211</v>
      </c>
      <c r="H143" s="31"/>
      <c r="I143" s="31"/>
      <c r="J143" s="39" t="s">
        <v>296</v>
      </c>
      <c r="L143" s="31" t="s">
        <v>213</v>
      </c>
      <c r="M143" s="31" t="s">
        <v>214</v>
      </c>
      <c r="N143" s="31" t="s">
        <v>215</v>
      </c>
      <c r="O143" s="32" t="str">
        <f aca="false">CONCATENATE(G143,", ",F143)</f>
        <v>GO, 8.76</v>
      </c>
    </row>
    <row r="144" customFormat="false" ht="15.75" hidden="false" customHeight="true" outlineLevel="0" collapsed="false">
      <c r="A144" s="30" t="n">
        <v>45256</v>
      </c>
      <c r="B144" s="31" t="s">
        <v>103</v>
      </c>
      <c r="C144" s="31" t="s">
        <v>122</v>
      </c>
      <c r="D144" s="31" t="n">
        <v>9</v>
      </c>
      <c r="E144" s="31" t="s">
        <v>14</v>
      </c>
      <c r="F144" s="31" t="n">
        <v>9.22</v>
      </c>
      <c r="G144" s="41" t="s">
        <v>211</v>
      </c>
      <c r="H144" s="31"/>
      <c r="I144" s="31"/>
      <c r="J144" s="39" t="s">
        <v>296</v>
      </c>
      <c r="L144" s="31" t="s">
        <v>213</v>
      </c>
      <c r="M144" s="31" t="s">
        <v>214</v>
      </c>
      <c r="N144" s="31" t="s">
        <v>215</v>
      </c>
      <c r="O144" s="32" t="str">
        <f aca="false">CONCATENATE(G144,", ",F144)</f>
        <v>GO, 9.22</v>
      </c>
    </row>
    <row r="145" customFormat="false" ht="15.75" hidden="false" customHeight="true" outlineLevel="0" collapsed="false">
      <c r="A145" s="30" t="n">
        <v>45256</v>
      </c>
      <c r="B145" s="31" t="s">
        <v>103</v>
      </c>
      <c r="C145" s="31" t="s">
        <v>122</v>
      </c>
      <c r="D145" s="31" t="n">
        <v>10</v>
      </c>
      <c r="E145" s="31" t="s">
        <v>35</v>
      </c>
      <c r="F145" s="31" t="n">
        <v>30</v>
      </c>
      <c r="G145" s="41" t="s">
        <v>217</v>
      </c>
      <c r="H145" s="31"/>
      <c r="I145" s="31"/>
      <c r="J145" s="39" t="s">
        <v>296</v>
      </c>
      <c r="L145" s="31" t="s">
        <v>213</v>
      </c>
      <c r="M145" s="31" t="s">
        <v>214</v>
      </c>
      <c r="N145" s="31" t="s">
        <v>215</v>
      </c>
      <c r="O145" s="32" t="str">
        <f aca="false">CONCATENATE(G145,", ",F145)</f>
        <v>NOGO, 30</v>
      </c>
    </row>
    <row r="146" customFormat="false" ht="15.75" hidden="false" customHeight="true" outlineLevel="0" collapsed="false">
      <c r="A146" s="30" t="n">
        <v>45256</v>
      </c>
      <c r="B146" s="31" t="s">
        <v>103</v>
      </c>
      <c r="C146" s="31" t="s">
        <v>122</v>
      </c>
      <c r="D146" s="31" t="n">
        <v>11</v>
      </c>
      <c r="E146" s="31" t="s">
        <v>35</v>
      </c>
      <c r="F146" s="31" t="n">
        <v>30</v>
      </c>
      <c r="G146" s="41" t="s">
        <v>217</v>
      </c>
      <c r="H146" s="31"/>
      <c r="I146" s="31"/>
      <c r="J146" s="39" t="s">
        <v>296</v>
      </c>
      <c r="L146" s="31" t="s">
        <v>213</v>
      </c>
      <c r="M146" s="31" t="s">
        <v>214</v>
      </c>
      <c r="N146" s="31" t="s">
        <v>215</v>
      </c>
      <c r="O146" s="32" t="str">
        <f aca="false">CONCATENATE(G146,", ",F146)</f>
        <v>NOGO, 30</v>
      </c>
    </row>
    <row r="147" customFormat="false" ht="15.75" hidden="false" customHeight="true" outlineLevel="0" collapsed="false">
      <c r="A147" s="30" t="n">
        <v>45256</v>
      </c>
      <c r="B147" s="31" t="s">
        <v>103</v>
      </c>
      <c r="C147" s="31" t="s">
        <v>122</v>
      </c>
      <c r="D147" s="31" t="n">
        <v>12</v>
      </c>
      <c r="E147" s="31" t="s">
        <v>14</v>
      </c>
      <c r="F147" s="31" t="n">
        <v>9.43</v>
      </c>
      <c r="G147" s="41" t="s">
        <v>211</v>
      </c>
      <c r="H147" s="31"/>
      <c r="I147" s="31"/>
      <c r="J147" s="39" t="s">
        <v>296</v>
      </c>
      <c r="L147" s="31" t="s">
        <v>213</v>
      </c>
      <c r="M147" s="31" t="s">
        <v>214</v>
      </c>
      <c r="N147" s="31" t="s">
        <v>215</v>
      </c>
      <c r="O147" s="32" t="str">
        <f aca="false">CONCATENATE(G147,", ",F147)</f>
        <v>GO, 9.43</v>
      </c>
    </row>
    <row r="148" customFormat="false" ht="15.75" hidden="false" customHeight="true" outlineLevel="0" collapsed="false">
      <c r="A148" s="30" t="n">
        <v>45256</v>
      </c>
      <c r="B148" s="31" t="s">
        <v>103</v>
      </c>
      <c r="C148" s="31" t="s">
        <v>122</v>
      </c>
      <c r="D148" s="31" t="n">
        <v>13</v>
      </c>
      <c r="E148" s="31" t="s">
        <v>112</v>
      </c>
      <c r="F148" s="31" t="n">
        <v>30</v>
      </c>
      <c r="G148" s="41" t="s">
        <v>217</v>
      </c>
      <c r="H148" s="31"/>
      <c r="I148" s="31"/>
      <c r="J148" s="39" t="s">
        <v>296</v>
      </c>
      <c r="L148" s="31" t="s">
        <v>213</v>
      </c>
      <c r="M148" s="31" t="s">
        <v>214</v>
      </c>
      <c r="N148" s="31" t="s">
        <v>215</v>
      </c>
      <c r="O148" s="32" t="str">
        <f aca="false">CONCATENATE(G148,", ",F148)</f>
        <v>NOGO, 30</v>
      </c>
    </row>
    <row r="149" customFormat="false" ht="15.75" hidden="false" customHeight="true" outlineLevel="0" collapsed="false">
      <c r="A149" s="30" t="n">
        <v>45256</v>
      </c>
      <c r="B149" s="31" t="s">
        <v>103</v>
      </c>
      <c r="C149" s="31" t="s">
        <v>122</v>
      </c>
      <c r="D149" s="31" t="n">
        <v>14</v>
      </c>
      <c r="E149" s="31" t="s">
        <v>14</v>
      </c>
      <c r="F149" s="31" t="n">
        <v>9.66</v>
      </c>
      <c r="G149" s="41" t="s">
        <v>211</v>
      </c>
      <c r="H149" s="31"/>
      <c r="I149" s="31"/>
      <c r="J149" s="39" t="s">
        <v>296</v>
      </c>
      <c r="L149" s="31" t="s">
        <v>213</v>
      </c>
      <c r="M149" s="31" t="s">
        <v>214</v>
      </c>
      <c r="N149" s="31" t="s">
        <v>215</v>
      </c>
      <c r="O149" s="32" t="str">
        <f aca="false">CONCATENATE(G149,", ",F149)</f>
        <v>GO, 9.66</v>
      </c>
    </row>
    <row r="150" customFormat="false" ht="15.75" hidden="false" customHeight="true" outlineLevel="0" collapsed="false">
      <c r="A150" s="30" t="n">
        <v>45256</v>
      </c>
      <c r="B150" s="31" t="s">
        <v>103</v>
      </c>
      <c r="C150" s="31" t="s">
        <v>122</v>
      </c>
      <c r="D150" s="31" t="n">
        <v>15</v>
      </c>
      <c r="E150" s="31" t="s">
        <v>35</v>
      </c>
      <c r="F150" s="31" t="n">
        <v>30</v>
      </c>
      <c r="G150" s="41" t="s">
        <v>217</v>
      </c>
      <c r="H150" s="31"/>
      <c r="I150" s="31"/>
      <c r="J150" s="39" t="s">
        <v>296</v>
      </c>
      <c r="L150" s="31" t="s">
        <v>213</v>
      </c>
      <c r="M150" s="31" t="s">
        <v>214</v>
      </c>
      <c r="N150" s="31" t="s">
        <v>215</v>
      </c>
      <c r="O150" s="32" t="str">
        <f aca="false">CONCATENATE(G150,", ",F150)</f>
        <v>NOGO, 30</v>
      </c>
    </row>
    <row r="151" customFormat="false" ht="15.75" hidden="false" customHeight="true" outlineLevel="0" collapsed="false">
      <c r="A151" s="30" t="n">
        <v>45257</v>
      </c>
      <c r="B151" s="31" t="s">
        <v>103</v>
      </c>
      <c r="C151" s="31" t="s">
        <v>153</v>
      </c>
      <c r="D151" s="31" t="n">
        <v>2</v>
      </c>
      <c r="E151" s="31" t="s">
        <v>35</v>
      </c>
      <c r="F151" s="31" t="n">
        <v>27.17</v>
      </c>
      <c r="G151" s="41" t="s">
        <v>211</v>
      </c>
      <c r="H151" s="31"/>
      <c r="I151" s="31" t="s">
        <v>184</v>
      </c>
      <c r="J151" s="39" t="s">
        <v>297</v>
      </c>
      <c r="L151" s="31" t="s">
        <v>213</v>
      </c>
      <c r="M151" s="31" t="s">
        <v>214</v>
      </c>
      <c r="N151" s="31" t="s">
        <v>215</v>
      </c>
      <c r="O151" s="32" t="str">
        <f aca="false">CONCATENATE(G151,", ",F151)</f>
        <v>GO, 27.17</v>
      </c>
    </row>
    <row r="152" customFormat="false" ht="15.75" hidden="false" customHeight="true" outlineLevel="0" collapsed="false">
      <c r="A152" s="30" t="n">
        <v>45257</v>
      </c>
      <c r="B152" s="31" t="s">
        <v>103</v>
      </c>
      <c r="C152" s="31" t="s">
        <v>153</v>
      </c>
      <c r="D152" s="31" t="n">
        <v>3</v>
      </c>
      <c r="E152" s="31" t="s">
        <v>68</v>
      </c>
      <c r="F152" s="31" t="n">
        <v>11.2</v>
      </c>
      <c r="G152" s="41" t="s">
        <v>211</v>
      </c>
      <c r="H152" s="31"/>
      <c r="I152" s="31" t="s">
        <v>185</v>
      </c>
      <c r="J152" s="39" t="s">
        <v>297</v>
      </c>
      <c r="L152" s="31" t="s">
        <v>213</v>
      </c>
      <c r="M152" s="31" t="s">
        <v>214</v>
      </c>
      <c r="N152" s="31" t="s">
        <v>215</v>
      </c>
      <c r="O152" s="32" t="str">
        <f aca="false">CONCATENATE(G152,", ",F152)</f>
        <v>GO, 11.2</v>
      </c>
    </row>
    <row r="153" customFormat="false" ht="15.75" hidden="false" customHeight="true" outlineLevel="0" collapsed="false">
      <c r="A153" s="30" t="n">
        <v>45257</v>
      </c>
      <c r="B153" s="31" t="s">
        <v>103</v>
      </c>
      <c r="C153" s="31" t="s">
        <v>137</v>
      </c>
      <c r="D153" s="31" t="n">
        <v>1</v>
      </c>
      <c r="E153" s="31" t="s">
        <v>14</v>
      </c>
      <c r="F153" s="31" t="n">
        <v>10.14</v>
      </c>
      <c r="G153" s="41" t="s">
        <v>211</v>
      </c>
      <c r="H153" s="31"/>
      <c r="I153" s="31"/>
      <c r="J153" s="39" t="s">
        <v>298</v>
      </c>
      <c r="L153" s="31" t="s">
        <v>213</v>
      </c>
      <c r="M153" s="31" t="s">
        <v>214</v>
      </c>
      <c r="N153" s="31" t="s">
        <v>215</v>
      </c>
      <c r="O153" s="32" t="str">
        <f aca="false">CONCATENATE(G153,", ",F153)</f>
        <v>GO, 10.14</v>
      </c>
    </row>
    <row r="154" customFormat="false" ht="15.75" hidden="false" customHeight="true" outlineLevel="0" collapsed="false">
      <c r="A154" s="30" t="n">
        <v>45257</v>
      </c>
      <c r="B154" s="31" t="s">
        <v>103</v>
      </c>
      <c r="C154" s="31" t="s">
        <v>137</v>
      </c>
      <c r="D154" s="31" t="n">
        <v>2</v>
      </c>
      <c r="E154" s="31" t="s">
        <v>35</v>
      </c>
      <c r="F154" s="31" t="n">
        <v>30</v>
      </c>
      <c r="G154" s="41" t="s">
        <v>217</v>
      </c>
      <c r="H154" s="31"/>
      <c r="I154" s="31"/>
      <c r="J154" s="39" t="s">
        <v>298</v>
      </c>
      <c r="L154" s="31" t="s">
        <v>213</v>
      </c>
      <c r="M154" s="31" t="s">
        <v>214</v>
      </c>
      <c r="N154" s="31" t="s">
        <v>215</v>
      </c>
      <c r="O154" s="32" t="str">
        <f aca="false">CONCATENATE(G154,", ",F154)</f>
        <v>NOGO, 30</v>
      </c>
    </row>
    <row r="155" customFormat="false" ht="15.75" hidden="false" customHeight="true" outlineLevel="0" collapsed="false">
      <c r="A155" s="30" t="n">
        <v>45257</v>
      </c>
      <c r="B155" s="31" t="s">
        <v>103</v>
      </c>
      <c r="C155" s="31" t="s">
        <v>137</v>
      </c>
      <c r="D155" s="31" t="n">
        <v>3</v>
      </c>
      <c r="E155" s="31" t="s">
        <v>68</v>
      </c>
      <c r="F155" s="31" t="n">
        <v>10.79</v>
      </c>
      <c r="G155" s="41" t="s">
        <v>211</v>
      </c>
      <c r="H155" s="31"/>
      <c r="I155" s="31" t="s">
        <v>184</v>
      </c>
      <c r="J155" s="39" t="s">
        <v>298</v>
      </c>
      <c r="L155" s="31" t="s">
        <v>213</v>
      </c>
      <c r="M155" s="31" t="s">
        <v>214</v>
      </c>
      <c r="N155" s="31" t="s">
        <v>215</v>
      </c>
      <c r="O155" s="32" t="str">
        <f aca="false">CONCATENATE(G155,", ",F155)</f>
        <v>GO, 10.79</v>
      </c>
    </row>
    <row r="156" customFormat="false" ht="15.75" hidden="false" customHeight="true" outlineLevel="0" collapsed="false">
      <c r="A156" s="30" t="n">
        <v>45257</v>
      </c>
      <c r="B156" s="31" t="s">
        <v>103</v>
      </c>
      <c r="C156" s="31" t="s">
        <v>137</v>
      </c>
      <c r="D156" s="31" t="n">
        <v>4</v>
      </c>
      <c r="E156" s="31" t="s">
        <v>35</v>
      </c>
      <c r="F156" s="31" t="n">
        <v>30</v>
      </c>
      <c r="G156" s="41" t="s">
        <v>217</v>
      </c>
      <c r="H156" s="31"/>
      <c r="I156" s="31"/>
      <c r="J156" s="39" t="s">
        <v>298</v>
      </c>
      <c r="L156" s="31" t="s">
        <v>213</v>
      </c>
      <c r="M156" s="31" t="s">
        <v>214</v>
      </c>
      <c r="N156" s="31" t="s">
        <v>215</v>
      </c>
      <c r="O156" s="32" t="str">
        <f aca="false">CONCATENATE(G156,", ",F156)</f>
        <v>NOGO, 30</v>
      </c>
    </row>
    <row r="157" customFormat="false" ht="15.75" hidden="false" customHeight="true" outlineLevel="0" collapsed="false">
      <c r="A157" s="30" t="n">
        <v>45257</v>
      </c>
      <c r="B157" s="31" t="s">
        <v>103</v>
      </c>
      <c r="C157" s="31" t="s">
        <v>137</v>
      </c>
      <c r="D157" s="31" t="n">
        <v>5</v>
      </c>
      <c r="E157" s="31" t="s">
        <v>14</v>
      </c>
      <c r="F157" s="31" t="n">
        <v>9.87</v>
      </c>
      <c r="G157" s="41" t="s">
        <v>211</v>
      </c>
      <c r="H157" s="31"/>
      <c r="I157" s="31"/>
      <c r="J157" s="39" t="s">
        <v>298</v>
      </c>
      <c r="L157" s="31" t="s">
        <v>213</v>
      </c>
      <c r="M157" s="31" t="s">
        <v>214</v>
      </c>
      <c r="N157" s="31" t="s">
        <v>215</v>
      </c>
      <c r="O157" s="32" t="str">
        <f aca="false">CONCATENATE(G157,", ",F157)</f>
        <v>GO, 9.87</v>
      </c>
    </row>
    <row r="158" customFormat="false" ht="15.75" hidden="false" customHeight="true" outlineLevel="0" collapsed="false">
      <c r="A158" s="30" t="n">
        <v>45257</v>
      </c>
      <c r="B158" s="31" t="s">
        <v>103</v>
      </c>
      <c r="C158" s="31" t="s">
        <v>137</v>
      </c>
      <c r="D158" s="31" t="n">
        <v>6</v>
      </c>
      <c r="E158" s="31" t="s">
        <v>14</v>
      </c>
      <c r="F158" s="31" t="n">
        <v>10.87</v>
      </c>
      <c r="G158" s="41" t="s">
        <v>211</v>
      </c>
      <c r="H158" s="31"/>
      <c r="I158" s="31"/>
      <c r="J158" s="39" t="s">
        <v>298</v>
      </c>
      <c r="L158" s="31" t="s">
        <v>213</v>
      </c>
      <c r="M158" s="31" t="s">
        <v>214</v>
      </c>
      <c r="N158" s="31" t="s">
        <v>215</v>
      </c>
      <c r="O158" s="32" t="str">
        <f aca="false">CONCATENATE(G158,", ",F158)</f>
        <v>GO, 10.87</v>
      </c>
    </row>
    <row r="159" customFormat="false" ht="15.75" hidden="false" customHeight="true" outlineLevel="0" collapsed="false">
      <c r="A159" s="30" t="n">
        <v>45257</v>
      </c>
      <c r="B159" s="31" t="s">
        <v>103</v>
      </c>
      <c r="C159" s="31" t="s">
        <v>137</v>
      </c>
      <c r="D159" s="31" t="n">
        <v>7</v>
      </c>
      <c r="E159" s="31" t="s">
        <v>35</v>
      </c>
      <c r="F159" s="31" t="n">
        <v>30</v>
      </c>
      <c r="G159" s="41" t="s">
        <v>217</v>
      </c>
      <c r="H159" s="31"/>
      <c r="I159" s="31" t="s">
        <v>17</v>
      </c>
      <c r="J159" s="39" t="s">
        <v>298</v>
      </c>
      <c r="L159" s="31" t="s">
        <v>213</v>
      </c>
      <c r="M159" s="31" t="s">
        <v>214</v>
      </c>
      <c r="N159" s="31" t="s">
        <v>215</v>
      </c>
      <c r="O159" s="32" t="str">
        <f aca="false">CONCATENATE(G159,", ",F159)</f>
        <v>NOGO, 30</v>
      </c>
    </row>
    <row r="160" customFormat="false" ht="15.75" hidden="false" customHeight="true" outlineLevel="0" collapsed="false">
      <c r="A160" s="30" t="n">
        <v>45257</v>
      </c>
      <c r="B160" s="31" t="s">
        <v>103</v>
      </c>
      <c r="C160" s="31" t="s">
        <v>137</v>
      </c>
      <c r="D160" s="31" t="n">
        <v>8</v>
      </c>
      <c r="E160" s="31" t="s">
        <v>70</v>
      </c>
      <c r="F160" s="31" t="n">
        <v>10.13</v>
      </c>
      <c r="G160" s="41" t="s">
        <v>211</v>
      </c>
      <c r="H160" s="31"/>
      <c r="I160" s="31"/>
      <c r="J160" s="39" t="s">
        <v>298</v>
      </c>
      <c r="L160" s="31" t="s">
        <v>213</v>
      </c>
      <c r="M160" s="31" t="s">
        <v>214</v>
      </c>
      <c r="N160" s="31" t="s">
        <v>215</v>
      </c>
      <c r="O160" s="32" t="str">
        <f aca="false">CONCATENATE(G160,", ",F160)</f>
        <v>GO, 10.13</v>
      </c>
    </row>
    <row r="161" customFormat="false" ht="15.75" hidden="false" customHeight="true" outlineLevel="0" collapsed="false">
      <c r="A161" s="30" t="n">
        <v>45257</v>
      </c>
      <c r="B161" s="31" t="s">
        <v>103</v>
      </c>
      <c r="C161" s="31" t="s">
        <v>137</v>
      </c>
      <c r="D161" s="31" t="n">
        <v>9</v>
      </c>
      <c r="E161" s="31" t="s">
        <v>14</v>
      </c>
      <c r="F161" s="31" t="n">
        <v>10.22</v>
      </c>
      <c r="G161" s="41" t="s">
        <v>211</v>
      </c>
      <c r="H161" s="31"/>
      <c r="I161" s="31"/>
      <c r="J161" s="39" t="s">
        <v>298</v>
      </c>
      <c r="L161" s="31" t="s">
        <v>213</v>
      </c>
      <c r="M161" s="31" t="s">
        <v>214</v>
      </c>
      <c r="N161" s="31" t="s">
        <v>215</v>
      </c>
      <c r="O161" s="32" t="str">
        <f aca="false">CONCATENATE(G161,", ",F161)</f>
        <v>GO, 10.22</v>
      </c>
    </row>
    <row r="162" customFormat="false" ht="15.75" hidden="false" customHeight="true" outlineLevel="0" collapsed="false">
      <c r="A162" s="30" t="n">
        <v>45257</v>
      </c>
      <c r="B162" s="31" t="s">
        <v>103</v>
      </c>
      <c r="C162" s="31" t="s">
        <v>137</v>
      </c>
      <c r="D162" s="31" t="n">
        <v>10</v>
      </c>
      <c r="E162" s="31" t="s">
        <v>35</v>
      </c>
      <c r="F162" s="31" t="n">
        <v>30</v>
      </c>
      <c r="G162" s="41" t="s">
        <v>217</v>
      </c>
      <c r="H162" s="31"/>
      <c r="I162" s="31"/>
      <c r="J162" s="39" t="s">
        <v>298</v>
      </c>
      <c r="L162" s="31" t="s">
        <v>213</v>
      </c>
      <c r="M162" s="31" t="s">
        <v>214</v>
      </c>
      <c r="N162" s="31" t="s">
        <v>215</v>
      </c>
      <c r="O162" s="32" t="str">
        <f aca="false">CONCATENATE(G162,", ",F162)</f>
        <v>NOGO, 30</v>
      </c>
    </row>
    <row r="163" customFormat="false" ht="15.75" hidden="false" customHeight="true" outlineLevel="0" collapsed="false">
      <c r="A163" s="30" t="n">
        <v>45257</v>
      </c>
      <c r="B163" s="31" t="s">
        <v>103</v>
      </c>
      <c r="C163" s="31" t="s">
        <v>137</v>
      </c>
      <c r="D163" s="31" t="n">
        <v>11</v>
      </c>
      <c r="E163" s="31" t="s">
        <v>35</v>
      </c>
      <c r="F163" s="31" t="n">
        <v>30</v>
      </c>
      <c r="G163" s="41" t="s">
        <v>217</v>
      </c>
      <c r="H163" s="31"/>
      <c r="I163" s="31"/>
      <c r="J163" s="39" t="s">
        <v>298</v>
      </c>
      <c r="L163" s="31" t="s">
        <v>213</v>
      </c>
      <c r="M163" s="31" t="s">
        <v>214</v>
      </c>
      <c r="N163" s="31" t="s">
        <v>215</v>
      </c>
      <c r="O163" s="32" t="str">
        <f aca="false">CONCATENATE(G163,", ",F163)</f>
        <v>NOGO, 30</v>
      </c>
    </row>
    <row r="164" customFormat="false" ht="15.75" hidden="false" customHeight="true" outlineLevel="0" collapsed="false">
      <c r="A164" s="30" t="n">
        <v>45257</v>
      </c>
      <c r="B164" s="31" t="s">
        <v>103</v>
      </c>
      <c r="C164" s="31" t="s">
        <v>137</v>
      </c>
      <c r="D164" s="31" t="n">
        <v>12</v>
      </c>
      <c r="E164" s="31" t="s">
        <v>14</v>
      </c>
      <c r="F164" s="31" t="n">
        <v>10.87</v>
      </c>
      <c r="G164" s="41" t="s">
        <v>211</v>
      </c>
      <c r="H164" s="31"/>
      <c r="I164" s="31" t="s">
        <v>187</v>
      </c>
      <c r="J164" s="39" t="s">
        <v>298</v>
      </c>
      <c r="L164" s="31" t="s">
        <v>213</v>
      </c>
      <c r="M164" s="31" t="s">
        <v>214</v>
      </c>
      <c r="N164" s="31" t="s">
        <v>215</v>
      </c>
      <c r="O164" s="32" t="str">
        <f aca="false">CONCATENATE(G164,", ",F164)</f>
        <v>GO, 10.87</v>
      </c>
    </row>
    <row r="165" customFormat="false" ht="15.75" hidden="false" customHeight="true" outlineLevel="0" collapsed="false">
      <c r="A165" s="30" t="n">
        <v>45257</v>
      </c>
      <c r="B165" s="31" t="s">
        <v>103</v>
      </c>
      <c r="C165" s="31" t="s">
        <v>137</v>
      </c>
      <c r="D165" s="31" t="n">
        <v>13</v>
      </c>
      <c r="E165" s="31" t="s">
        <v>112</v>
      </c>
      <c r="F165" s="31" t="n">
        <v>30</v>
      </c>
      <c r="G165" s="41" t="s">
        <v>217</v>
      </c>
      <c r="H165" s="31"/>
      <c r="I165" s="31"/>
      <c r="J165" s="39" t="s">
        <v>298</v>
      </c>
      <c r="L165" s="31" t="s">
        <v>213</v>
      </c>
      <c r="M165" s="31" t="s">
        <v>214</v>
      </c>
      <c r="N165" s="31" t="s">
        <v>215</v>
      </c>
      <c r="O165" s="32" t="str">
        <f aca="false">CONCATENATE(G165,", ",F165)</f>
        <v>NOGO, 30</v>
      </c>
    </row>
    <row r="166" customFormat="false" ht="15.75" hidden="false" customHeight="true" outlineLevel="0" collapsed="false">
      <c r="A166" s="30" t="n">
        <v>45257</v>
      </c>
      <c r="B166" s="31" t="s">
        <v>103</v>
      </c>
      <c r="C166" s="31" t="s">
        <v>137</v>
      </c>
      <c r="D166" s="31" t="n">
        <v>14</v>
      </c>
      <c r="E166" s="31" t="s">
        <v>14</v>
      </c>
      <c r="F166" s="31" t="n">
        <v>10.87</v>
      </c>
      <c r="G166" s="41" t="s">
        <v>211</v>
      </c>
      <c r="H166" s="31"/>
      <c r="I166" s="31"/>
      <c r="J166" s="39" t="s">
        <v>298</v>
      </c>
      <c r="L166" s="31" t="s">
        <v>213</v>
      </c>
      <c r="M166" s="31" t="s">
        <v>214</v>
      </c>
      <c r="N166" s="31" t="s">
        <v>215</v>
      </c>
      <c r="O166" s="32" t="str">
        <f aca="false">CONCATENATE(G166,", ",F166)</f>
        <v>GO, 10.87</v>
      </c>
    </row>
    <row r="167" customFormat="false" ht="15.75" hidden="false" customHeight="true" outlineLevel="0" collapsed="false">
      <c r="A167" s="30" t="n">
        <v>45257</v>
      </c>
      <c r="B167" s="31" t="s">
        <v>103</v>
      </c>
      <c r="C167" s="31" t="s">
        <v>137</v>
      </c>
      <c r="D167" s="31" t="n">
        <v>15</v>
      </c>
      <c r="E167" s="31" t="s">
        <v>35</v>
      </c>
      <c r="F167" s="31" t="n">
        <v>30</v>
      </c>
      <c r="G167" s="41" t="s">
        <v>217</v>
      </c>
      <c r="H167" s="31"/>
      <c r="I167" s="31"/>
      <c r="J167" s="39" t="s">
        <v>298</v>
      </c>
      <c r="L167" s="31" t="s">
        <v>213</v>
      </c>
      <c r="M167" s="31" t="s">
        <v>214</v>
      </c>
      <c r="N167" s="31" t="s">
        <v>215</v>
      </c>
      <c r="O167" s="32" t="str">
        <f aca="false">CONCATENATE(G167,", ",F167)</f>
        <v>NOGO, 30</v>
      </c>
    </row>
    <row r="168" customFormat="false" ht="15.75" hidden="false" customHeight="true" outlineLevel="0" collapsed="false">
      <c r="A168" s="30" t="n">
        <v>45257</v>
      </c>
      <c r="B168" s="31" t="s">
        <v>100</v>
      </c>
      <c r="C168" s="31" t="s">
        <v>116</v>
      </c>
      <c r="D168" s="31" t="n">
        <v>1</v>
      </c>
      <c r="E168" s="31" t="s">
        <v>14</v>
      </c>
      <c r="F168" s="31" t="n">
        <v>7.99</v>
      </c>
      <c r="G168" s="41" t="s">
        <v>211</v>
      </c>
      <c r="H168" s="31"/>
      <c r="I168" s="31"/>
      <c r="J168" s="39" t="s">
        <v>299</v>
      </c>
      <c r="L168" s="31" t="s">
        <v>213</v>
      </c>
      <c r="M168" s="31" t="s">
        <v>214</v>
      </c>
      <c r="N168" s="31" t="s">
        <v>215</v>
      </c>
      <c r="O168" s="32" t="str">
        <f aca="false">CONCATENATE(G168,", ",F168)</f>
        <v>GO, 7.99</v>
      </c>
    </row>
    <row r="169" customFormat="false" ht="15.75" hidden="false" customHeight="true" outlineLevel="0" collapsed="false">
      <c r="A169" s="30" t="n">
        <v>45257</v>
      </c>
      <c r="B169" s="31" t="s">
        <v>100</v>
      </c>
      <c r="C169" s="31" t="s">
        <v>116</v>
      </c>
      <c r="D169" s="31" t="n">
        <v>2</v>
      </c>
      <c r="E169" s="31" t="s">
        <v>35</v>
      </c>
      <c r="F169" s="31" t="n">
        <v>30</v>
      </c>
      <c r="G169" s="41" t="s">
        <v>217</v>
      </c>
      <c r="H169" s="31"/>
      <c r="I169" s="31" t="s">
        <v>39</v>
      </c>
      <c r="J169" s="39" t="s">
        <v>299</v>
      </c>
      <c r="L169" s="31" t="s">
        <v>213</v>
      </c>
      <c r="M169" s="31" t="s">
        <v>214</v>
      </c>
      <c r="N169" s="31" t="s">
        <v>215</v>
      </c>
      <c r="O169" s="32" t="str">
        <f aca="false">CONCATENATE(G169,", ",F169)</f>
        <v>NOGO, 30</v>
      </c>
    </row>
    <row r="170" customFormat="false" ht="15.75" hidden="false" customHeight="true" outlineLevel="0" collapsed="false">
      <c r="A170" s="30" t="n">
        <v>45257</v>
      </c>
      <c r="B170" s="31" t="s">
        <v>100</v>
      </c>
      <c r="C170" s="31" t="s">
        <v>116</v>
      </c>
      <c r="D170" s="31" t="n">
        <v>3</v>
      </c>
      <c r="E170" s="31" t="s">
        <v>14</v>
      </c>
      <c r="F170" s="31" t="n">
        <v>9.14</v>
      </c>
      <c r="G170" s="41" t="s">
        <v>211</v>
      </c>
      <c r="H170" s="31"/>
      <c r="I170" s="31" t="s">
        <v>17</v>
      </c>
      <c r="J170" s="39" t="s">
        <v>299</v>
      </c>
      <c r="L170" s="31" t="s">
        <v>213</v>
      </c>
      <c r="M170" s="31" t="s">
        <v>214</v>
      </c>
      <c r="N170" s="31" t="s">
        <v>215</v>
      </c>
      <c r="O170" s="32" t="str">
        <f aca="false">CONCATENATE(G170,", ",F170)</f>
        <v>GO, 9.14</v>
      </c>
    </row>
    <row r="171" customFormat="false" ht="15.75" hidden="false" customHeight="true" outlineLevel="0" collapsed="false">
      <c r="A171" s="30" t="n">
        <v>45257</v>
      </c>
      <c r="B171" s="31" t="s">
        <v>100</v>
      </c>
      <c r="C171" s="31" t="s">
        <v>116</v>
      </c>
      <c r="D171" s="31" t="n">
        <v>4</v>
      </c>
      <c r="E171" s="31" t="s">
        <v>35</v>
      </c>
      <c r="F171" s="31" t="n">
        <v>18.01</v>
      </c>
      <c r="G171" s="41" t="s">
        <v>211</v>
      </c>
      <c r="H171" s="31"/>
      <c r="I171" s="31" t="s">
        <v>188</v>
      </c>
      <c r="J171" s="39" t="s">
        <v>299</v>
      </c>
      <c r="L171" s="31" t="s">
        <v>213</v>
      </c>
      <c r="M171" s="31" t="s">
        <v>214</v>
      </c>
      <c r="N171" s="31" t="s">
        <v>215</v>
      </c>
      <c r="O171" s="32" t="str">
        <f aca="false">CONCATENATE(G171,", ",F171)</f>
        <v>GO, 18.01</v>
      </c>
    </row>
    <row r="172" customFormat="false" ht="15.75" hidden="false" customHeight="true" outlineLevel="0" collapsed="false">
      <c r="A172" s="30" t="n">
        <v>45257</v>
      </c>
      <c r="B172" s="31" t="s">
        <v>100</v>
      </c>
      <c r="C172" s="31" t="s">
        <v>116</v>
      </c>
      <c r="D172" s="31" t="n">
        <v>5</v>
      </c>
      <c r="E172" s="31" t="s">
        <v>68</v>
      </c>
      <c r="F172" s="31" t="n">
        <v>10.56</v>
      </c>
      <c r="G172" s="41" t="s">
        <v>211</v>
      </c>
      <c r="H172" s="31"/>
      <c r="I172" s="31"/>
      <c r="J172" s="39" t="s">
        <v>299</v>
      </c>
      <c r="L172" s="31" t="s">
        <v>213</v>
      </c>
      <c r="M172" s="31" t="s">
        <v>214</v>
      </c>
      <c r="N172" s="31" t="s">
        <v>215</v>
      </c>
      <c r="O172" s="32" t="str">
        <f aca="false">CONCATENATE(G172,", ",F172)</f>
        <v>GO, 10.56</v>
      </c>
    </row>
    <row r="173" customFormat="false" ht="15.75" hidden="false" customHeight="true" outlineLevel="0" collapsed="false">
      <c r="A173" s="30" t="n">
        <v>45257</v>
      </c>
      <c r="B173" s="31" t="s">
        <v>100</v>
      </c>
      <c r="C173" s="31" t="s">
        <v>116</v>
      </c>
      <c r="D173" s="31" t="n">
        <v>6</v>
      </c>
      <c r="E173" s="31" t="s">
        <v>14</v>
      </c>
      <c r="F173" s="31" t="n">
        <v>9.22</v>
      </c>
      <c r="G173" s="41" t="s">
        <v>211</v>
      </c>
      <c r="H173" s="31"/>
      <c r="I173" s="31" t="s">
        <v>189</v>
      </c>
      <c r="J173" s="39" t="s">
        <v>299</v>
      </c>
      <c r="L173" s="31" t="s">
        <v>213</v>
      </c>
      <c r="M173" s="31" t="s">
        <v>214</v>
      </c>
      <c r="N173" s="31" t="s">
        <v>215</v>
      </c>
      <c r="O173" s="32" t="str">
        <f aca="false">CONCATENATE(G173,", ",F173)</f>
        <v>GO, 9.22</v>
      </c>
    </row>
    <row r="174" customFormat="false" ht="15.75" hidden="false" customHeight="true" outlineLevel="0" collapsed="false">
      <c r="A174" s="30" t="n">
        <v>45257</v>
      </c>
      <c r="B174" s="31" t="s">
        <v>100</v>
      </c>
      <c r="C174" s="31" t="s">
        <v>116</v>
      </c>
      <c r="D174" s="31" t="n">
        <v>7</v>
      </c>
      <c r="E174" s="31" t="s">
        <v>14</v>
      </c>
      <c r="F174" s="31" t="n">
        <v>9.55</v>
      </c>
      <c r="G174" s="41" t="s">
        <v>211</v>
      </c>
      <c r="H174" s="31"/>
      <c r="I174" s="31"/>
      <c r="J174" s="39" t="s">
        <v>299</v>
      </c>
      <c r="L174" s="31" t="s">
        <v>213</v>
      </c>
      <c r="M174" s="31" t="s">
        <v>214</v>
      </c>
      <c r="N174" s="31" t="s">
        <v>215</v>
      </c>
      <c r="O174" s="32" t="str">
        <f aca="false">CONCATENATE(G174,", ",F174)</f>
        <v>GO, 9.55</v>
      </c>
    </row>
    <row r="175" customFormat="false" ht="15.75" hidden="false" customHeight="true" outlineLevel="0" collapsed="false">
      <c r="A175" s="30" t="n">
        <v>45257</v>
      </c>
      <c r="B175" s="31" t="s">
        <v>100</v>
      </c>
      <c r="C175" s="31" t="s">
        <v>116</v>
      </c>
      <c r="D175" s="31" t="n">
        <v>8</v>
      </c>
      <c r="E175" s="31" t="s">
        <v>35</v>
      </c>
      <c r="F175" s="31" t="n">
        <v>30</v>
      </c>
      <c r="G175" s="41" t="s">
        <v>217</v>
      </c>
      <c r="H175" s="31"/>
      <c r="I175" s="31"/>
      <c r="J175" s="39" t="s">
        <v>299</v>
      </c>
      <c r="L175" s="31" t="s">
        <v>213</v>
      </c>
      <c r="M175" s="31" t="s">
        <v>214</v>
      </c>
      <c r="N175" s="31" t="s">
        <v>215</v>
      </c>
      <c r="O175" s="32" t="str">
        <f aca="false">CONCATENATE(G175,", ",F175)</f>
        <v>NOGO, 30</v>
      </c>
    </row>
    <row r="176" customFormat="false" ht="15.75" hidden="false" customHeight="true" outlineLevel="0" collapsed="false">
      <c r="A176" s="30" t="n">
        <v>45257</v>
      </c>
      <c r="B176" s="31" t="s">
        <v>100</v>
      </c>
      <c r="C176" s="31" t="s">
        <v>116</v>
      </c>
      <c r="D176" s="31" t="n">
        <v>9</v>
      </c>
      <c r="E176" s="31" t="s">
        <v>70</v>
      </c>
      <c r="F176" s="31" t="n">
        <v>30</v>
      </c>
      <c r="G176" s="41" t="s">
        <v>217</v>
      </c>
      <c r="H176" s="31"/>
      <c r="I176" s="31"/>
      <c r="J176" s="39" t="s">
        <v>299</v>
      </c>
      <c r="L176" s="31" t="s">
        <v>213</v>
      </c>
      <c r="M176" s="31" t="s">
        <v>214</v>
      </c>
      <c r="N176" s="31" t="s">
        <v>215</v>
      </c>
      <c r="O176" s="32" t="str">
        <f aca="false">CONCATENATE(G176,", ",F176)</f>
        <v>NOGO, 30</v>
      </c>
    </row>
    <row r="177" customFormat="false" ht="15.75" hidden="false" customHeight="true" outlineLevel="0" collapsed="false">
      <c r="A177" s="30" t="n">
        <v>45257</v>
      </c>
      <c r="B177" s="31" t="s">
        <v>100</v>
      </c>
      <c r="C177" s="31" t="s">
        <v>116</v>
      </c>
      <c r="D177" s="31" t="n">
        <v>10</v>
      </c>
      <c r="E177" s="31" t="s">
        <v>14</v>
      </c>
      <c r="F177" s="31" t="n">
        <v>10.13</v>
      </c>
      <c r="G177" s="41" t="s">
        <v>211</v>
      </c>
      <c r="H177" s="31"/>
      <c r="I177" s="31"/>
      <c r="J177" s="39" t="s">
        <v>299</v>
      </c>
      <c r="L177" s="31" t="s">
        <v>213</v>
      </c>
      <c r="M177" s="31" t="s">
        <v>214</v>
      </c>
      <c r="N177" s="31" t="s">
        <v>215</v>
      </c>
      <c r="O177" s="32" t="str">
        <f aca="false">CONCATENATE(G177,", ",F177)</f>
        <v>GO, 10.13</v>
      </c>
    </row>
    <row r="178" customFormat="false" ht="15.75" hidden="false" customHeight="true" outlineLevel="0" collapsed="false">
      <c r="A178" s="30" t="n">
        <v>45257</v>
      </c>
      <c r="B178" s="31" t="s">
        <v>100</v>
      </c>
      <c r="C178" s="31" t="s">
        <v>116</v>
      </c>
      <c r="D178" s="31" t="n">
        <v>11</v>
      </c>
      <c r="E178" s="31" t="s">
        <v>35</v>
      </c>
      <c r="F178" s="31" t="n">
        <v>30</v>
      </c>
      <c r="G178" s="41" t="s">
        <v>217</v>
      </c>
      <c r="H178" s="31"/>
      <c r="I178" s="31"/>
      <c r="J178" s="39" t="s">
        <v>299</v>
      </c>
      <c r="L178" s="31" t="s">
        <v>213</v>
      </c>
      <c r="M178" s="31" t="s">
        <v>214</v>
      </c>
      <c r="N178" s="31" t="s">
        <v>215</v>
      </c>
      <c r="O178" s="32" t="str">
        <f aca="false">CONCATENATE(G178,", ",F178)</f>
        <v>NOGO, 30</v>
      </c>
    </row>
    <row r="179" customFormat="false" ht="15.75" hidden="false" customHeight="true" outlineLevel="0" collapsed="false">
      <c r="A179" s="30" t="n">
        <v>45257</v>
      </c>
      <c r="B179" s="31" t="s">
        <v>100</v>
      </c>
      <c r="C179" s="31" t="s">
        <v>116</v>
      </c>
      <c r="D179" s="31" t="n">
        <v>12</v>
      </c>
      <c r="E179" s="31" t="s">
        <v>35</v>
      </c>
      <c r="F179" s="31" t="n">
        <v>30</v>
      </c>
      <c r="G179" s="41" t="s">
        <v>217</v>
      </c>
      <c r="H179" s="31"/>
      <c r="I179" s="31"/>
      <c r="J179" s="39" t="s">
        <v>299</v>
      </c>
      <c r="L179" s="31" t="s">
        <v>213</v>
      </c>
      <c r="M179" s="31" t="s">
        <v>214</v>
      </c>
      <c r="N179" s="31" t="s">
        <v>215</v>
      </c>
      <c r="O179" s="32" t="str">
        <f aca="false">CONCATENATE(G179,", ",F179)</f>
        <v>NOGO, 30</v>
      </c>
    </row>
    <row r="180" customFormat="false" ht="15.75" hidden="false" customHeight="true" outlineLevel="0" collapsed="false">
      <c r="A180" s="30" t="n">
        <v>45257</v>
      </c>
      <c r="B180" s="31" t="s">
        <v>100</v>
      </c>
      <c r="C180" s="31" t="s">
        <v>116</v>
      </c>
      <c r="D180" s="31" t="n">
        <v>13</v>
      </c>
      <c r="E180" s="31" t="s">
        <v>14</v>
      </c>
      <c r="F180" s="31" t="n">
        <v>9.63</v>
      </c>
      <c r="G180" s="41" t="s">
        <v>211</v>
      </c>
      <c r="H180" s="31"/>
      <c r="I180" s="31" t="s">
        <v>188</v>
      </c>
      <c r="J180" s="39" t="s">
        <v>299</v>
      </c>
      <c r="L180" s="31" t="s">
        <v>213</v>
      </c>
      <c r="M180" s="31" t="s">
        <v>214</v>
      </c>
      <c r="N180" s="31" t="s">
        <v>215</v>
      </c>
      <c r="O180" s="32" t="str">
        <f aca="false">CONCATENATE(G180,", ",F180)</f>
        <v>GO, 9.63</v>
      </c>
    </row>
    <row r="181" customFormat="false" ht="15.75" hidden="false" customHeight="true" outlineLevel="0" collapsed="false">
      <c r="A181" s="30" t="n">
        <v>45257</v>
      </c>
      <c r="B181" s="31" t="s">
        <v>100</v>
      </c>
      <c r="C181" s="31" t="s">
        <v>116</v>
      </c>
      <c r="D181" s="31" t="n">
        <v>14</v>
      </c>
      <c r="E181" s="31" t="s">
        <v>112</v>
      </c>
      <c r="F181" s="31" t="n">
        <v>30</v>
      </c>
      <c r="G181" s="41" t="s">
        <v>217</v>
      </c>
      <c r="H181" s="31"/>
      <c r="I181" s="31"/>
      <c r="J181" s="39" t="s">
        <v>299</v>
      </c>
      <c r="L181" s="31" t="s">
        <v>213</v>
      </c>
      <c r="M181" s="31" t="s">
        <v>214</v>
      </c>
      <c r="N181" s="31" t="s">
        <v>215</v>
      </c>
      <c r="O181" s="32" t="str">
        <f aca="false">CONCATENATE(G181,", ",F181)</f>
        <v>NOGO, 30</v>
      </c>
    </row>
    <row r="182" customFormat="false" ht="15.75" hidden="false" customHeight="true" outlineLevel="0" collapsed="false">
      <c r="A182" s="30" t="n">
        <v>45257</v>
      </c>
      <c r="B182" s="31" t="s">
        <v>100</v>
      </c>
      <c r="C182" s="31" t="s">
        <v>116</v>
      </c>
      <c r="D182" s="31" t="n">
        <v>15</v>
      </c>
      <c r="E182" s="31" t="s">
        <v>35</v>
      </c>
      <c r="F182" s="31" t="n">
        <v>30</v>
      </c>
      <c r="G182" s="41" t="s">
        <v>217</v>
      </c>
      <c r="H182" s="31"/>
      <c r="I182" s="31"/>
      <c r="J182" s="39" t="s">
        <v>299</v>
      </c>
      <c r="L182" s="31" t="s">
        <v>213</v>
      </c>
      <c r="M182" s="31" t="s">
        <v>214</v>
      </c>
      <c r="N182" s="31" t="s">
        <v>215</v>
      </c>
      <c r="O182" s="32" t="str">
        <f aca="false">CONCATENATE(G182,", ",F182)</f>
        <v>NOGO, 30</v>
      </c>
    </row>
    <row r="183" customFormat="false" ht="15.75" hidden="false" customHeight="true" outlineLevel="0" collapsed="false">
      <c r="A183" s="30" t="n">
        <v>45257</v>
      </c>
      <c r="B183" s="31" t="s">
        <v>100</v>
      </c>
      <c r="C183" s="31" t="s">
        <v>117</v>
      </c>
      <c r="D183" s="31" t="n">
        <v>1</v>
      </c>
      <c r="E183" s="31" t="s">
        <v>14</v>
      </c>
      <c r="F183" s="31" t="n">
        <v>8.23</v>
      </c>
      <c r="G183" s="41" t="s">
        <v>211</v>
      </c>
      <c r="H183" s="31"/>
      <c r="I183" s="31" t="s">
        <v>20</v>
      </c>
      <c r="J183" s="39" t="s">
        <v>300</v>
      </c>
      <c r="L183" s="31" t="s">
        <v>213</v>
      </c>
      <c r="M183" s="31" t="s">
        <v>214</v>
      </c>
      <c r="N183" s="31" t="s">
        <v>215</v>
      </c>
      <c r="O183" s="32" t="str">
        <f aca="false">CONCATENATE(G183,", ",F183)</f>
        <v>GO, 8.23</v>
      </c>
    </row>
    <row r="184" customFormat="false" ht="15.75" hidden="false" customHeight="true" outlineLevel="0" collapsed="false">
      <c r="A184" s="30" t="n">
        <v>45257</v>
      </c>
      <c r="B184" s="31" t="s">
        <v>100</v>
      </c>
      <c r="C184" s="31" t="s">
        <v>117</v>
      </c>
      <c r="D184" s="31" t="n">
        <v>2</v>
      </c>
      <c r="E184" s="31" t="s">
        <v>35</v>
      </c>
      <c r="F184" s="31" t="n">
        <v>25.39</v>
      </c>
      <c r="G184" s="41" t="s">
        <v>211</v>
      </c>
      <c r="H184" s="31"/>
      <c r="I184" s="31"/>
      <c r="J184" s="39" t="s">
        <v>300</v>
      </c>
      <c r="L184" s="31" t="s">
        <v>213</v>
      </c>
      <c r="M184" s="31" t="s">
        <v>214</v>
      </c>
      <c r="N184" s="31" t="s">
        <v>215</v>
      </c>
      <c r="O184" s="32" t="str">
        <f aca="false">CONCATENATE(G184,", ",F184)</f>
        <v>GO, 25.39</v>
      </c>
    </row>
    <row r="185" customFormat="false" ht="15.75" hidden="false" customHeight="true" outlineLevel="0" collapsed="false">
      <c r="A185" s="30" t="n">
        <v>45257</v>
      </c>
      <c r="B185" s="31" t="s">
        <v>100</v>
      </c>
      <c r="C185" s="31" t="s">
        <v>117</v>
      </c>
      <c r="D185" s="31" t="n">
        <v>3</v>
      </c>
      <c r="E185" s="31" t="s">
        <v>14</v>
      </c>
      <c r="F185" s="31" t="n">
        <v>8.16</v>
      </c>
      <c r="G185" s="41" t="s">
        <v>211</v>
      </c>
      <c r="H185" s="31"/>
      <c r="I185" s="31"/>
      <c r="J185" s="39" t="s">
        <v>300</v>
      </c>
      <c r="L185" s="31" t="s">
        <v>213</v>
      </c>
      <c r="M185" s="31" t="s">
        <v>214</v>
      </c>
      <c r="N185" s="31" t="s">
        <v>215</v>
      </c>
      <c r="O185" s="32" t="str">
        <f aca="false">CONCATENATE(G185,", ",F185)</f>
        <v>GO, 8.16</v>
      </c>
    </row>
    <row r="186" customFormat="false" ht="15.75" hidden="false" customHeight="true" outlineLevel="0" collapsed="false">
      <c r="A186" s="30" t="n">
        <v>45257</v>
      </c>
      <c r="B186" s="31" t="s">
        <v>100</v>
      </c>
      <c r="C186" s="31" t="s">
        <v>117</v>
      </c>
      <c r="D186" s="31" t="n">
        <v>4</v>
      </c>
      <c r="E186" s="31" t="s">
        <v>35</v>
      </c>
      <c r="F186" s="31" t="n">
        <v>30</v>
      </c>
      <c r="G186" s="41" t="s">
        <v>217</v>
      </c>
      <c r="H186" s="31"/>
      <c r="I186" s="31"/>
      <c r="J186" s="39" t="s">
        <v>300</v>
      </c>
      <c r="L186" s="31" t="s">
        <v>213</v>
      </c>
      <c r="M186" s="31" t="s">
        <v>214</v>
      </c>
      <c r="N186" s="31" t="s">
        <v>215</v>
      </c>
      <c r="O186" s="32" t="str">
        <f aca="false">CONCATENATE(G186,", ",F186)</f>
        <v>NOGO, 30</v>
      </c>
    </row>
    <row r="187" customFormat="false" ht="15.75" hidden="false" customHeight="true" outlineLevel="0" collapsed="false">
      <c r="A187" s="30" t="n">
        <v>45257</v>
      </c>
      <c r="B187" s="31" t="s">
        <v>100</v>
      </c>
      <c r="C187" s="31" t="s">
        <v>117</v>
      </c>
      <c r="D187" s="31" t="n">
        <v>5</v>
      </c>
      <c r="E187" s="31" t="s">
        <v>68</v>
      </c>
      <c r="F187" s="31" t="n">
        <v>9.48</v>
      </c>
      <c r="G187" s="41" t="s">
        <v>211</v>
      </c>
      <c r="H187" s="31"/>
      <c r="I187" s="31"/>
      <c r="J187" s="39" t="s">
        <v>300</v>
      </c>
      <c r="L187" s="31" t="s">
        <v>213</v>
      </c>
      <c r="M187" s="31" t="s">
        <v>214</v>
      </c>
      <c r="N187" s="31" t="s">
        <v>215</v>
      </c>
      <c r="O187" s="32" t="str">
        <f aca="false">CONCATENATE(G187,", ",F187)</f>
        <v>GO, 9.48</v>
      </c>
    </row>
    <row r="188" customFormat="false" ht="15.75" hidden="false" customHeight="true" outlineLevel="0" collapsed="false">
      <c r="A188" s="30" t="n">
        <v>45257</v>
      </c>
      <c r="B188" s="31" t="s">
        <v>100</v>
      </c>
      <c r="C188" s="31" t="s">
        <v>117</v>
      </c>
      <c r="D188" s="31" t="n">
        <v>6</v>
      </c>
      <c r="E188" s="31" t="s">
        <v>14</v>
      </c>
      <c r="F188" s="31" t="n">
        <v>8.82</v>
      </c>
      <c r="G188" s="41" t="s">
        <v>211</v>
      </c>
      <c r="H188" s="31"/>
      <c r="I188" s="31"/>
      <c r="J188" s="39" t="s">
        <v>300</v>
      </c>
      <c r="L188" s="31" t="s">
        <v>213</v>
      </c>
      <c r="M188" s="31" t="s">
        <v>214</v>
      </c>
      <c r="N188" s="31" t="s">
        <v>215</v>
      </c>
      <c r="O188" s="32" t="str">
        <f aca="false">CONCATENATE(G188,", ",F188)</f>
        <v>GO, 8.82</v>
      </c>
    </row>
    <row r="189" customFormat="false" ht="15.75" hidden="false" customHeight="true" outlineLevel="0" collapsed="false">
      <c r="A189" s="30" t="n">
        <v>45257</v>
      </c>
      <c r="B189" s="31" t="s">
        <v>100</v>
      </c>
      <c r="C189" s="31" t="s">
        <v>117</v>
      </c>
      <c r="D189" s="31" t="n">
        <v>7</v>
      </c>
      <c r="E189" s="31" t="s">
        <v>14</v>
      </c>
      <c r="F189" s="31" t="n">
        <v>9.14</v>
      </c>
      <c r="G189" s="41" t="s">
        <v>211</v>
      </c>
      <c r="H189" s="31"/>
      <c r="I189" s="31"/>
      <c r="J189" s="39" t="s">
        <v>300</v>
      </c>
      <c r="L189" s="31" t="s">
        <v>213</v>
      </c>
      <c r="M189" s="31" t="s">
        <v>214</v>
      </c>
      <c r="N189" s="31" t="s">
        <v>215</v>
      </c>
      <c r="O189" s="32" t="str">
        <f aca="false">CONCATENATE(G189,", ",F189)</f>
        <v>GO, 9.14</v>
      </c>
    </row>
    <row r="190" customFormat="false" ht="15.75" hidden="false" customHeight="true" outlineLevel="0" collapsed="false">
      <c r="A190" s="30" t="n">
        <v>45257</v>
      </c>
      <c r="B190" s="31" t="s">
        <v>100</v>
      </c>
      <c r="C190" s="31" t="s">
        <v>117</v>
      </c>
      <c r="D190" s="31" t="n">
        <v>8</v>
      </c>
      <c r="E190" s="31" t="s">
        <v>35</v>
      </c>
      <c r="F190" s="31" t="n">
        <v>30</v>
      </c>
      <c r="G190" s="41" t="s">
        <v>217</v>
      </c>
      <c r="H190" s="31"/>
      <c r="I190" s="31"/>
      <c r="J190" s="39" t="s">
        <v>300</v>
      </c>
      <c r="L190" s="31" t="s">
        <v>213</v>
      </c>
      <c r="M190" s="31" t="s">
        <v>214</v>
      </c>
      <c r="N190" s="31" t="s">
        <v>215</v>
      </c>
      <c r="O190" s="32" t="str">
        <f aca="false">CONCATENATE(G190,", ",F190)</f>
        <v>NOGO, 30</v>
      </c>
    </row>
    <row r="191" customFormat="false" ht="15.75" hidden="false" customHeight="true" outlineLevel="0" collapsed="false">
      <c r="A191" s="30" t="n">
        <v>45257</v>
      </c>
      <c r="B191" s="31" t="s">
        <v>100</v>
      </c>
      <c r="C191" s="31" t="s">
        <v>117</v>
      </c>
      <c r="D191" s="31" t="n">
        <v>9</v>
      </c>
      <c r="E191" s="31" t="s">
        <v>70</v>
      </c>
      <c r="F191" s="31" t="n">
        <v>8.6</v>
      </c>
      <c r="G191" s="41" t="s">
        <v>211</v>
      </c>
      <c r="H191" s="31"/>
      <c r="I191" s="31"/>
      <c r="J191" s="39" t="s">
        <v>300</v>
      </c>
      <c r="L191" s="31" t="s">
        <v>213</v>
      </c>
      <c r="M191" s="31" t="s">
        <v>214</v>
      </c>
      <c r="N191" s="31" t="s">
        <v>215</v>
      </c>
      <c r="O191" s="32" t="str">
        <f aca="false">CONCATENATE(G191,", ",F191)</f>
        <v>GO, 8.6</v>
      </c>
    </row>
    <row r="192" customFormat="false" ht="15.75" hidden="false" customHeight="true" outlineLevel="0" collapsed="false">
      <c r="A192" s="30" t="n">
        <v>45257</v>
      </c>
      <c r="B192" s="31" t="s">
        <v>100</v>
      </c>
      <c r="C192" s="31" t="s">
        <v>117</v>
      </c>
      <c r="D192" s="31" t="n">
        <v>10</v>
      </c>
      <c r="E192" s="31" t="s">
        <v>14</v>
      </c>
      <c r="F192" s="31" t="n">
        <v>8.95</v>
      </c>
      <c r="G192" s="41" t="s">
        <v>211</v>
      </c>
      <c r="H192" s="31"/>
      <c r="I192" s="31"/>
      <c r="J192" s="39" t="s">
        <v>300</v>
      </c>
      <c r="L192" s="31" t="s">
        <v>213</v>
      </c>
      <c r="M192" s="31" t="s">
        <v>214</v>
      </c>
      <c r="N192" s="31" t="s">
        <v>215</v>
      </c>
      <c r="O192" s="32" t="str">
        <f aca="false">CONCATENATE(G192,", ",F192)</f>
        <v>GO, 8.95</v>
      </c>
    </row>
    <row r="193" customFormat="false" ht="15.75" hidden="false" customHeight="true" outlineLevel="0" collapsed="false">
      <c r="A193" s="30" t="n">
        <v>45257</v>
      </c>
      <c r="B193" s="31" t="s">
        <v>100</v>
      </c>
      <c r="C193" s="31" t="s">
        <v>117</v>
      </c>
      <c r="D193" s="31" t="n">
        <v>11</v>
      </c>
      <c r="E193" s="31" t="s">
        <v>35</v>
      </c>
      <c r="F193" s="31" t="n">
        <v>30</v>
      </c>
      <c r="G193" s="41" t="s">
        <v>217</v>
      </c>
      <c r="H193" s="31"/>
      <c r="I193" s="31"/>
      <c r="J193" s="39" t="s">
        <v>300</v>
      </c>
      <c r="L193" s="31" t="s">
        <v>213</v>
      </c>
      <c r="M193" s="31" t="s">
        <v>214</v>
      </c>
      <c r="N193" s="31" t="s">
        <v>215</v>
      </c>
      <c r="O193" s="32" t="str">
        <f aca="false">CONCATENATE(G193,", ",F193)</f>
        <v>NOGO, 30</v>
      </c>
    </row>
    <row r="194" customFormat="false" ht="15.75" hidden="false" customHeight="true" outlineLevel="0" collapsed="false">
      <c r="A194" s="30" t="n">
        <v>45257</v>
      </c>
      <c r="B194" s="31" t="s">
        <v>100</v>
      </c>
      <c r="C194" s="31" t="s">
        <v>117</v>
      </c>
      <c r="D194" s="31" t="n">
        <v>12</v>
      </c>
      <c r="E194" s="31" t="s">
        <v>35</v>
      </c>
      <c r="F194" s="31" t="n">
        <v>30</v>
      </c>
      <c r="G194" s="41" t="s">
        <v>217</v>
      </c>
      <c r="H194" s="31"/>
      <c r="I194" s="31"/>
      <c r="J194" s="39" t="s">
        <v>300</v>
      </c>
      <c r="L194" s="31" t="s">
        <v>213</v>
      </c>
      <c r="M194" s="31" t="s">
        <v>214</v>
      </c>
      <c r="N194" s="31" t="s">
        <v>215</v>
      </c>
      <c r="O194" s="32" t="str">
        <f aca="false">CONCATENATE(G194,", ",F194)</f>
        <v>NOGO, 30</v>
      </c>
    </row>
    <row r="195" customFormat="false" ht="15.75" hidden="false" customHeight="true" outlineLevel="0" collapsed="false">
      <c r="A195" s="30" t="n">
        <v>45257</v>
      </c>
      <c r="B195" s="31" t="s">
        <v>100</v>
      </c>
      <c r="C195" s="31" t="s">
        <v>117</v>
      </c>
      <c r="D195" s="31" t="n">
        <v>13</v>
      </c>
      <c r="E195" s="31" t="s">
        <v>14</v>
      </c>
      <c r="F195" s="31" t="n">
        <v>9.08</v>
      </c>
      <c r="G195" s="41" t="s">
        <v>211</v>
      </c>
      <c r="H195" s="31"/>
      <c r="I195" s="31"/>
      <c r="J195" s="39" t="s">
        <v>300</v>
      </c>
      <c r="L195" s="31" t="s">
        <v>213</v>
      </c>
      <c r="M195" s="31" t="s">
        <v>214</v>
      </c>
      <c r="N195" s="31" t="s">
        <v>215</v>
      </c>
      <c r="O195" s="32" t="str">
        <f aca="false">CONCATENATE(G195,", ",F195)</f>
        <v>GO, 9.08</v>
      </c>
    </row>
    <row r="196" customFormat="false" ht="15.75" hidden="false" customHeight="true" outlineLevel="0" collapsed="false">
      <c r="A196" s="30" t="n">
        <v>45257</v>
      </c>
      <c r="B196" s="31" t="s">
        <v>100</v>
      </c>
      <c r="C196" s="31" t="s">
        <v>117</v>
      </c>
      <c r="D196" s="31" t="n">
        <v>14</v>
      </c>
      <c r="E196" s="31" t="s">
        <v>112</v>
      </c>
      <c r="F196" s="31" t="n">
        <v>30</v>
      </c>
      <c r="G196" s="41" t="s">
        <v>217</v>
      </c>
      <c r="H196" s="31"/>
      <c r="I196" s="31"/>
      <c r="J196" s="39" t="s">
        <v>300</v>
      </c>
      <c r="L196" s="31" t="s">
        <v>213</v>
      </c>
      <c r="M196" s="31" t="s">
        <v>214</v>
      </c>
      <c r="N196" s="31" t="s">
        <v>215</v>
      </c>
      <c r="O196" s="32" t="str">
        <f aca="false">CONCATENATE(G196,", ",F196)</f>
        <v>NOGO, 30</v>
      </c>
    </row>
    <row r="197" customFormat="false" ht="15.75" hidden="false" customHeight="true" outlineLevel="0" collapsed="false">
      <c r="A197" s="30" t="n">
        <v>45257</v>
      </c>
      <c r="B197" s="31" t="s">
        <v>100</v>
      </c>
      <c r="C197" s="31" t="s">
        <v>117</v>
      </c>
      <c r="D197" s="31" t="n">
        <v>15</v>
      </c>
      <c r="E197" s="31" t="s">
        <v>35</v>
      </c>
      <c r="F197" s="31" t="n">
        <v>30</v>
      </c>
      <c r="G197" s="41" t="s">
        <v>217</v>
      </c>
      <c r="H197" s="31"/>
      <c r="I197" s="31"/>
      <c r="J197" s="39" t="s">
        <v>300</v>
      </c>
      <c r="L197" s="31" t="s">
        <v>213</v>
      </c>
      <c r="M197" s="31" t="s">
        <v>214</v>
      </c>
      <c r="N197" s="31" t="s">
        <v>215</v>
      </c>
      <c r="O197" s="32" t="str">
        <f aca="false">CONCATENATE(G197,", ",F197)</f>
        <v>NOGO, 30</v>
      </c>
    </row>
    <row r="198" customFormat="false" ht="15.75" hidden="false" customHeight="true" outlineLevel="0" collapsed="false">
      <c r="A198" s="30" t="n">
        <v>45257</v>
      </c>
      <c r="B198" s="31" t="s">
        <v>100</v>
      </c>
      <c r="C198" s="31" t="s">
        <v>119</v>
      </c>
      <c r="D198" s="31" t="n">
        <v>1</v>
      </c>
      <c r="E198" s="31" t="s">
        <v>14</v>
      </c>
      <c r="F198" s="31" t="n">
        <v>7.62</v>
      </c>
      <c r="G198" s="41" t="s">
        <v>211</v>
      </c>
      <c r="H198" s="31"/>
      <c r="I198" s="31"/>
      <c r="J198" s="39" t="s">
        <v>301</v>
      </c>
      <c r="L198" s="31" t="s">
        <v>213</v>
      </c>
      <c r="M198" s="31" t="s">
        <v>214</v>
      </c>
      <c r="N198" s="31" t="s">
        <v>215</v>
      </c>
      <c r="O198" s="32" t="str">
        <f aca="false">CONCATENATE(G198,", ",F198)</f>
        <v>GO, 7.62</v>
      </c>
    </row>
    <row r="199" customFormat="false" ht="15.75" hidden="false" customHeight="true" outlineLevel="0" collapsed="false">
      <c r="A199" s="30" t="n">
        <v>45257</v>
      </c>
      <c r="B199" s="31" t="s">
        <v>100</v>
      </c>
      <c r="C199" s="31" t="s">
        <v>119</v>
      </c>
      <c r="D199" s="31" t="n">
        <v>2</v>
      </c>
      <c r="E199" s="31" t="s">
        <v>35</v>
      </c>
      <c r="F199" s="31" t="n">
        <v>15.96</v>
      </c>
      <c r="G199" s="41" t="s">
        <v>211</v>
      </c>
      <c r="H199" s="31"/>
      <c r="I199" s="31"/>
      <c r="J199" s="39" t="s">
        <v>301</v>
      </c>
      <c r="L199" s="31" t="s">
        <v>213</v>
      </c>
      <c r="M199" s="31" t="s">
        <v>214</v>
      </c>
      <c r="N199" s="31" t="s">
        <v>215</v>
      </c>
      <c r="O199" s="32" t="str">
        <f aca="false">CONCATENATE(G199,", ",F199)</f>
        <v>GO, 15.96</v>
      </c>
    </row>
    <row r="200" customFormat="false" ht="15.75" hidden="false" customHeight="true" outlineLevel="0" collapsed="false">
      <c r="A200" s="30" t="n">
        <v>45257</v>
      </c>
      <c r="B200" s="31" t="s">
        <v>100</v>
      </c>
      <c r="C200" s="31" t="s">
        <v>119</v>
      </c>
      <c r="D200" s="31" t="n">
        <v>3</v>
      </c>
      <c r="E200" s="31" t="s">
        <v>14</v>
      </c>
      <c r="F200" s="31" t="n">
        <v>8.56</v>
      </c>
      <c r="G200" s="41" t="s">
        <v>211</v>
      </c>
      <c r="H200" s="31"/>
      <c r="I200" s="31"/>
      <c r="J200" s="39" t="s">
        <v>301</v>
      </c>
      <c r="L200" s="31" t="s">
        <v>213</v>
      </c>
      <c r="M200" s="31" t="s">
        <v>214</v>
      </c>
      <c r="N200" s="31" t="s">
        <v>215</v>
      </c>
      <c r="O200" s="32" t="str">
        <f aca="false">CONCATENATE(G200,", ",F200)</f>
        <v>GO, 8.56</v>
      </c>
    </row>
    <row r="201" customFormat="false" ht="15.75" hidden="false" customHeight="true" outlineLevel="0" collapsed="false">
      <c r="A201" s="30" t="n">
        <v>45257</v>
      </c>
      <c r="B201" s="31" t="s">
        <v>100</v>
      </c>
      <c r="C201" s="31" t="s">
        <v>119</v>
      </c>
      <c r="D201" s="31" t="n">
        <v>4</v>
      </c>
      <c r="E201" s="31" t="s">
        <v>35</v>
      </c>
      <c r="F201" s="31" t="n">
        <v>11.54</v>
      </c>
      <c r="G201" s="41" t="s">
        <v>211</v>
      </c>
      <c r="H201" s="31"/>
      <c r="I201" s="31"/>
      <c r="J201" s="39" t="s">
        <v>301</v>
      </c>
      <c r="L201" s="31" t="s">
        <v>213</v>
      </c>
      <c r="M201" s="31" t="s">
        <v>214</v>
      </c>
      <c r="N201" s="31" t="s">
        <v>215</v>
      </c>
      <c r="O201" s="32" t="str">
        <f aca="false">CONCATENATE(G201,", ",F201)</f>
        <v>GO, 11.54</v>
      </c>
    </row>
    <row r="202" customFormat="false" ht="15.75" hidden="false" customHeight="true" outlineLevel="0" collapsed="false">
      <c r="A202" s="30" t="n">
        <v>45257</v>
      </c>
      <c r="B202" s="31" t="s">
        <v>100</v>
      </c>
      <c r="C202" s="31" t="s">
        <v>119</v>
      </c>
      <c r="D202" s="31" t="n">
        <v>5</v>
      </c>
      <c r="E202" s="31" t="s">
        <v>68</v>
      </c>
      <c r="F202" s="31" t="n">
        <v>30</v>
      </c>
      <c r="G202" s="41" t="s">
        <v>217</v>
      </c>
      <c r="H202" s="31"/>
      <c r="I202" s="31"/>
      <c r="J202" s="39" t="s">
        <v>301</v>
      </c>
      <c r="L202" s="31" t="s">
        <v>213</v>
      </c>
      <c r="M202" s="31" t="s">
        <v>214</v>
      </c>
      <c r="N202" s="31" t="s">
        <v>215</v>
      </c>
      <c r="O202" s="32" t="str">
        <f aca="false">CONCATENATE(G202,", ",F202)</f>
        <v>NOGO, 30</v>
      </c>
    </row>
    <row r="203" customFormat="false" ht="15.75" hidden="false" customHeight="true" outlineLevel="0" collapsed="false">
      <c r="A203" s="30" t="n">
        <v>45257</v>
      </c>
      <c r="B203" s="31" t="s">
        <v>100</v>
      </c>
      <c r="C203" s="31" t="s">
        <v>119</v>
      </c>
      <c r="D203" s="31" t="n">
        <v>6</v>
      </c>
      <c r="E203" s="31" t="s">
        <v>14</v>
      </c>
      <c r="F203" s="31" t="n">
        <v>30</v>
      </c>
      <c r="G203" s="41" t="s">
        <v>217</v>
      </c>
      <c r="H203" s="31"/>
      <c r="I203" s="31"/>
      <c r="J203" s="39" t="s">
        <v>301</v>
      </c>
      <c r="L203" s="31" t="s">
        <v>213</v>
      </c>
      <c r="M203" s="31" t="s">
        <v>214</v>
      </c>
      <c r="N203" s="31" t="s">
        <v>215</v>
      </c>
      <c r="O203" s="32" t="str">
        <f aca="false">CONCATENATE(G203,", ",F203)</f>
        <v>NOGO, 30</v>
      </c>
    </row>
    <row r="204" customFormat="false" ht="15.75" hidden="false" customHeight="true" outlineLevel="0" collapsed="false">
      <c r="A204" s="30" t="n">
        <v>45257</v>
      </c>
      <c r="B204" s="31" t="s">
        <v>100</v>
      </c>
      <c r="C204" s="31" t="s">
        <v>119</v>
      </c>
      <c r="D204" s="31" t="n">
        <v>7</v>
      </c>
      <c r="E204" s="31" t="s">
        <v>14</v>
      </c>
      <c r="F204" s="31" t="n">
        <v>8.61</v>
      </c>
      <c r="G204" s="41" t="s">
        <v>211</v>
      </c>
      <c r="H204" s="31"/>
      <c r="I204" s="31"/>
      <c r="J204" s="39" t="s">
        <v>301</v>
      </c>
      <c r="L204" s="31" t="s">
        <v>213</v>
      </c>
      <c r="M204" s="31" t="s">
        <v>214</v>
      </c>
      <c r="N204" s="31" t="s">
        <v>215</v>
      </c>
      <c r="O204" s="32" t="str">
        <f aca="false">CONCATENATE(G204,", ",F204)</f>
        <v>GO, 8.61</v>
      </c>
    </row>
    <row r="205" customFormat="false" ht="15.75" hidden="false" customHeight="true" outlineLevel="0" collapsed="false">
      <c r="A205" s="30" t="n">
        <v>45257</v>
      </c>
      <c r="B205" s="31" t="s">
        <v>100</v>
      </c>
      <c r="C205" s="31" t="s">
        <v>119</v>
      </c>
      <c r="D205" s="31" t="n">
        <v>8</v>
      </c>
      <c r="E205" s="31" t="s">
        <v>35</v>
      </c>
      <c r="F205" s="31" t="n">
        <v>30</v>
      </c>
      <c r="G205" s="41" t="s">
        <v>217</v>
      </c>
      <c r="H205" s="31"/>
      <c r="I205" s="31"/>
      <c r="J205" s="39" t="s">
        <v>301</v>
      </c>
      <c r="L205" s="31" t="s">
        <v>213</v>
      </c>
      <c r="M205" s="31" t="s">
        <v>214</v>
      </c>
      <c r="N205" s="31" t="s">
        <v>215</v>
      </c>
      <c r="O205" s="32" t="str">
        <f aca="false">CONCATENATE(G205,", ",F205)</f>
        <v>NOGO, 30</v>
      </c>
    </row>
    <row r="206" customFormat="false" ht="15.75" hidden="false" customHeight="true" outlineLevel="0" collapsed="false">
      <c r="A206" s="30" t="n">
        <v>45257</v>
      </c>
      <c r="B206" s="31" t="s">
        <v>100</v>
      </c>
      <c r="C206" s="31" t="s">
        <v>119</v>
      </c>
      <c r="D206" s="31" t="n">
        <v>9</v>
      </c>
      <c r="E206" s="31" t="s">
        <v>70</v>
      </c>
      <c r="F206" s="31" t="n">
        <v>30</v>
      </c>
      <c r="G206" s="41" t="s">
        <v>217</v>
      </c>
      <c r="H206" s="31"/>
      <c r="I206" s="31"/>
      <c r="J206" s="39" t="s">
        <v>301</v>
      </c>
      <c r="L206" s="31" t="s">
        <v>213</v>
      </c>
      <c r="M206" s="31" t="s">
        <v>214</v>
      </c>
      <c r="N206" s="31" t="s">
        <v>215</v>
      </c>
      <c r="O206" s="32" t="str">
        <f aca="false">CONCATENATE(G206,", ",F206)</f>
        <v>NOGO, 30</v>
      </c>
    </row>
    <row r="207" customFormat="false" ht="15.75" hidden="false" customHeight="true" outlineLevel="0" collapsed="false">
      <c r="A207" s="30" t="n">
        <v>45257</v>
      </c>
      <c r="B207" s="31" t="s">
        <v>100</v>
      </c>
      <c r="C207" s="31" t="s">
        <v>119</v>
      </c>
      <c r="D207" s="31" t="n">
        <v>10</v>
      </c>
      <c r="E207" s="31" t="s">
        <v>14</v>
      </c>
      <c r="F207" s="31" t="n">
        <v>9.6</v>
      </c>
      <c r="G207" s="41" t="s">
        <v>211</v>
      </c>
      <c r="H207" s="31"/>
      <c r="I207" s="31"/>
      <c r="J207" s="39" t="s">
        <v>301</v>
      </c>
      <c r="L207" s="31" t="s">
        <v>213</v>
      </c>
      <c r="M207" s="31" t="s">
        <v>214</v>
      </c>
      <c r="N207" s="31" t="s">
        <v>215</v>
      </c>
      <c r="O207" s="32" t="str">
        <f aca="false">CONCATENATE(G207,", ",F207)</f>
        <v>GO, 9.6</v>
      </c>
    </row>
    <row r="208" customFormat="false" ht="15.75" hidden="false" customHeight="true" outlineLevel="0" collapsed="false">
      <c r="A208" s="30" t="n">
        <v>45257</v>
      </c>
      <c r="B208" s="31" t="s">
        <v>100</v>
      </c>
      <c r="C208" s="31" t="s">
        <v>119</v>
      </c>
      <c r="D208" s="31" t="n">
        <v>11</v>
      </c>
      <c r="E208" s="31" t="s">
        <v>35</v>
      </c>
      <c r="F208" s="31" t="n">
        <v>30</v>
      </c>
      <c r="G208" s="41" t="s">
        <v>217</v>
      </c>
      <c r="H208" s="31"/>
      <c r="I208" s="31"/>
      <c r="J208" s="39" t="s">
        <v>301</v>
      </c>
      <c r="L208" s="31" t="s">
        <v>213</v>
      </c>
      <c r="M208" s="31" t="s">
        <v>214</v>
      </c>
      <c r="N208" s="31" t="s">
        <v>215</v>
      </c>
      <c r="O208" s="32" t="str">
        <f aca="false">CONCATENATE(G208,", ",F208)</f>
        <v>NOGO, 30</v>
      </c>
    </row>
    <row r="209" customFormat="false" ht="15.75" hidden="false" customHeight="true" outlineLevel="0" collapsed="false">
      <c r="A209" s="30" t="n">
        <v>45257</v>
      </c>
      <c r="B209" s="31" t="s">
        <v>100</v>
      </c>
      <c r="C209" s="31" t="s">
        <v>119</v>
      </c>
      <c r="D209" s="31" t="n">
        <v>12</v>
      </c>
      <c r="E209" s="31" t="s">
        <v>35</v>
      </c>
      <c r="F209" s="31" t="n">
        <v>30</v>
      </c>
      <c r="G209" s="41" t="s">
        <v>217</v>
      </c>
      <c r="H209" s="31"/>
      <c r="I209" s="31"/>
      <c r="J209" s="39" t="s">
        <v>301</v>
      </c>
      <c r="L209" s="31" t="s">
        <v>213</v>
      </c>
      <c r="M209" s="31" t="s">
        <v>214</v>
      </c>
      <c r="N209" s="31" t="s">
        <v>215</v>
      </c>
      <c r="O209" s="32" t="str">
        <f aca="false">CONCATENATE(G209,", ",F209)</f>
        <v>NOGO, 30</v>
      </c>
    </row>
    <row r="210" customFormat="false" ht="15.75" hidden="false" customHeight="true" outlineLevel="0" collapsed="false">
      <c r="A210" s="30" t="n">
        <v>45257</v>
      </c>
      <c r="B210" s="31" t="s">
        <v>100</v>
      </c>
      <c r="C210" s="31" t="s">
        <v>119</v>
      </c>
      <c r="D210" s="31" t="n">
        <v>13</v>
      </c>
      <c r="E210" s="31" t="s">
        <v>14</v>
      </c>
      <c r="F210" s="31" t="n">
        <v>8.46</v>
      </c>
      <c r="G210" s="41" t="s">
        <v>211</v>
      </c>
      <c r="H210" s="31"/>
      <c r="I210" s="31"/>
      <c r="J210" s="39" t="s">
        <v>301</v>
      </c>
      <c r="L210" s="31" t="s">
        <v>213</v>
      </c>
      <c r="M210" s="31" t="s">
        <v>214</v>
      </c>
      <c r="N210" s="31" t="s">
        <v>215</v>
      </c>
      <c r="O210" s="32" t="str">
        <f aca="false">CONCATENATE(G210,", ",F210)</f>
        <v>GO, 8.46</v>
      </c>
    </row>
    <row r="211" customFormat="false" ht="15.75" hidden="false" customHeight="true" outlineLevel="0" collapsed="false">
      <c r="A211" s="30" t="n">
        <v>45257</v>
      </c>
      <c r="B211" s="31" t="s">
        <v>100</v>
      </c>
      <c r="C211" s="31" t="s">
        <v>119</v>
      </c>
      <c r="D211" s="31" t="n">
        <v>14</v>
      </c>
      <c r="E211" s="31" t="s">
        <v>112</v>
      </c>
      <c r="F211" s="31" t="n">
        <v>30</v>
      </c>
      <c r="G211" s="41" t="s">
        <v>217</v>
      </c>
      <c r="H211" s="31"/>
      <c r="I211" s="31"/>
      <c r="J211" s="39" t="s">
        <v>301</v>
      </c>
      <c r="L211" s="31" t="s">
        <v>213</v>
      </c>
      <c r="M211" s="31" t="s">
        <v>214</v>
      </c>
      <c r="N211" s="31" t="s">
        <v>215</v>
      </c>
      <c r="O211" s="32" t="str">
        <f aca="false">CONCATENATE(G211,", ",F211)</f>
        <v>NOGO, 30</v>
      </c>
    </row>
    <row r="212" customFormat="false" ht="15.75" hidden="false" customHeight="true" outlineLevel="0" collapsed="false">
      <c r="A212" s="30" t="n">
        <v>45257</v>
      </c>
      <c r="B212" s="31" t="s">
        <v>100</v>
      </c>
      <c r="C212" s="31" t="s">
        <v>119</v>
      </c>
      <c r="D212" s="31" t="n">
        <v>15</v>
      </c>
      <c r="E212" s="31" t="s">
        <v>35</v>
      </c>
      <c r="F212" s="31" t="n">
        <v>30</v>
      </c>
      <c r="G212" s="41" t="s">
        <v>217</v>
      </c>
      <c r="H212" s="31"/>
      <c r="I212" s="31"/>
      <c r="J212" s="39" t="s">
        <v>301</v>
      </c>
      <c r="L212" s="31" t="s">
        <v>213</v>
      </c>
      <c r="M212" s="31" t="s">
        <v>214</v>
      </c>
      <c r="N212" s="31" t="s">
        <v>215</v>
      </c>
      <c r="O212" s="32" t="str">
        <f aca="false">CONCATENATE(G212,", ",F212)</f>
        <v>NOGO, 30</v>
      </c>
    </row>
    <row r="213" customFormat="false" ht="15.75" hidden="false" customHeight="true" outlineLevel="0" collapsed="false">
      <c r="A213" s="30" t="n">
        <v>45258</v>
      </c>
      <c r="B213" s="31" t="s">
        <v>103</v>
      </c>
      <c r="C213" s="31" t="s">
        <v>119</v>
      </c>
      <c r="D213" s="31" t="n">
        <v>1</v>
      </c>
      <c r="E213" s="31" t="s">
        <v>14</v>
      </c>
      <c r="F213" s="31" t="n">
        <v>10.12</v>
      </c>
      <c r="G213" s="41" t="s">
        <v>211</v>
      </c>
      <c r="H213" s="31"/>
      <c r="I213" s="31"/>
      <c r="J213" s="39" t="s">
        <v>302</v>
      </c>
      <c r="L213" s="31" t="s">
        <v>213</v>
      </c>
      <c r="M213" s="31" t="s">
        <v>214</v>
      </c>
      <c r="N213" s="31" t="s">
        <v>215</v>
      </c>
      <c r="O213" s="32" t="str">
        <f aca="false">CONCATENATE(G213,", ",F213)</f>
        <v>GO, 10.12</v>
      </c>
    </row>
    <row r="214" customFormat="false" ht="15.75" hidden="false" customHeight="true" outlineLevel="0" collapsed="false">
      <c r="A214" s="30" t="n">
        <v>45258</v>
      </c>
      <c r="B214" s="31" t="s">
        <v>103</v>
      </c>
      <c r="C214" s="31" t="s">
        <v>119</v>
      </c>
      <c r="D214" s="31" t="n">
        <v>2</v>
      </c>
      <c r="E214" s="31" t="s">
        <v>35</v>
      </c>
      <c r="F214" s="31" t="n">
        <v>19.18</v>
      </c>
      <c r="G214" s="41" t="s">
        <v>211</v>
      </c>
      <c r="H214" s="31"/>
      <c r="I214" s="31"/>
      <c r="J214" s="39" t="s">
        <v>302</v>
      </c>
      <c r="L214" s="31" t="s">
        <v>213</v>
      </c>
      <c r="M214" s="31" t="s">
        <v>214</v>
      </c>
      <c r="N214" s="31" t="s">
        <v>215</v>
      </c>
      <c r="O214" s="32" t="str">
        <f aca="false">CONCATENATE(G214,", ",F214)</f>
        <v>GO, 19.18</v>
      </c>
    </row>
    <row r="215" customFormat="false" ht="15.75" hidden="false" customHeight="true" outlineLevel="0" collapsed="false">
      <c r="A215" s="30" t="n">
        <v>45258</v>
      </c>
      <c r="B215" s="31" t="s">
        <v>103</v>
      </c>
      <c r="C215" s="31" t="s">
        <v>119</v>
      </c>
      <c r="D215" s="31" t="n">
        <v>3</v>
      </c>
      <c r="E215" s="31" t="s">
        <v>68</v>
      </c>
      <c r="F215" s="31" t="n">
        <v>30</v>
      </c>
      <c r="G215" s="41" t="s">
        <v>217</v>
      </c>
      <c r="H215" s="31"/>
      <c r="I215" s="31"/>
      <c r="J215" s="39" t="s">
        <v>302</v>
      </c>
      <c r="L215" s="31" t="s">
        <v>213</v>
      </c>
      <c r="M215" s="31" t="s">
        <v>214</v>
      </c>
      <c r="N215" s="31" t="s">
        <v>215</v>
      </c>
      <c r="O215" s="32" t="str">
        <f aca="false">CONCATENATE(G215,", ",F215)</f>
        <v>NOGO, 30</v>
      </c>
    </row>
    <row r="216" customFormat="false" ht="15.75" hidden="false" customHeight="true" outlineLevel="0" collapsed="false">
      <c r="A216" s="30" t="n">
        <v>45258</v>
      </c>
      <c r="B216" s="31" t="s">
        <v>103</v>
      </c>
      <c r="C216" s="31" t="s">
        <v>119</v>
      </c>
      <c r="D216" s="31" t="n">
        <v>4</v>
      </c>
      <c r="E216" s="31" t="s">
        <v>35</v>
      </c>
      <c r="F216" s="31" t="n">
        <v>30</v>
      </c>
      <c r="G216" s="41" t="s">
        <v>217</v>
      </c>
      <c r="H216" s="31"/>
      <c r="I216" s="31"/>
      <c r="J216" s="39" t="s">
        <v>302</v>
      </c>
      <c r="L216" s="31" t="s">
        <v>213</v>
      </c>
      <c r="M216" s="31" t="s">
        <v>214</v>
      </c>
      <c r="N216" s="31" t="s">
        <v>215</v>
      </c>
      <c r="O216" s="32" t="str">
        <f aca="false">CONCATENATE(G216,", ",F216)</f>
        <v>NOGO, 30</v>
      </c>
    </row>
    <row r="217" customFormat="false" ht="15.75" hidden="false" customHeight="true" outlineLevel="0" collapsed="false">
      <c r="A217" s="30" t="n">
        <v>45258</v>
      </c>
      <c r="B217" s="31" t="s">
        <v>103</v>
      </c>
      <c r="C217" s="31" t="s">
        <v>119</v>
      </c>
      <c r="D217" s="31" t="n">
        <v>5</v>
      </c>
      <c r="E217" s="31" t="s">
        <v>14</v>
      </c>
      <c r="F217" s="31" t="n">
        <v>9.92</v>
      </c>
      <c r="G217" s="41" t="s">
        <v>211</v>
      </c>
      <c r="H217" s="31"/>
      <c r="I217" s="31"/>
      <c r="J217" s="39" t="s">
        <v>302</v>
      </c>
      <c r="L217" s="31" t="s">
        <v>213</v>
      </c>
      <c r="M217" s="31" t="s">
        <v>214</v>
      </c>
      <c r="N217" s="31" t="s">
        <v>215</v>
      </c>
      <c r="O217" s="32" t="str">
        <f aca="false">CONCATENATE(G217,", ",F217)</f>
        <v>GO, 9.92</v>
      </c>
    </row>
    <row r="218" customFormat="false" ht="15.75" hidden="false" customHeight="true" outlineLevel="0" collapsed="false">
      <c r="A218" s="30" t="n">
        <v>45258</v>
      </c>
      <c r="B218" s="31" t="s">
        <v>103</v>
      </c>
      <c r="C218" s="31" t="s">
        <v>119</v>
      </c>
      <c r="D218" s="31" t="n">
        <v>6</v>
      </c>
      <c r="E218" s="31" t="s">
        <v>14</v>
      </c>
      <c r="F218" s="31" t="n">
        <v>9.49</v>
      </c>
      <c r="G218" s="41" t="s">
        <v>211</v>
      </c>
      <c r="H218" s="31"/>
      <c r="I218" s="31"/>
      <c r="J218" s="39" t="s">
        <v>302</v>
      </c>
      <c r="L218" s="31" t="s">
        <v>213</v>
      </c>
      <c r="M218" s="31" t="s">
        <v>214</v>
      </c>
      <c r="N218" s="31" t="s">
        <v>215</v>
      </c>
      <c r="O218" s="32" t="str">
        <f aca="false">CONCATENATE(G218,", ",F218)</f>
        <v>GO, 9.49</v>
      </c>
    </row>
    <row r="219" customFormat="false" ht="15.75" hidden="false" customHeight="true" outlineLevel="0" collapsed="false">
      <c r="A219" s="30" t="n">
        <v>45258</v>
      </c>
      <c r="B219" s="31" t="s">
        <v>103</v>
      </c>
      <c r="C219" s="31" t="s">
        <v>119</v>
      </c>
      <c r="D219" s="31" t="n">
        <v>7</v>
      </c>
      <c r="E219" s="31" t="s">
        <v>35</v>
      </c>
      <c r="F219" s="31" t="n">
        <v>30</v>
      </c>
      <c r="G219" s="41" t="s">
        <v>217</v>
      </c>
      <c r="H219" s="31"/>
      <c r="I219" s="31"/>
      <c r="J219" s="39" t="s">
        <v>302</v>
      </c>
      <c r="L219" s="31" t="s">
        <v>213</v>
      </c>
      <c r="M219" s="31" t="s">
        <v>214</v>
      </c>
      <c r="N219" s="31" t="s">
        <v>215</v>
      </c>
      <c r="O219" s="32" t="str">
        <f aca="false">CONCATENATE(G219,", ",F219)</f>
        <v>NOGO, 30</v>
      </c>
    </row>
    <row r="220" customFormat="false" ht="15.75" hidden="false" customHeight="true" outlineLevel="0" collapsed="false">
      <c r="A220" s="30" t="n">
        <v>45258</v>
      </c>
      <c r="B220" s="31" t="s">
        <v>103</v>
      </c>
      <c r="C220" s="31" t="s">
        <v>119</v>
      </c>
      <c r="D220" s="31" t="n">
        <v>8</v>
      </c>
      <c r="E220" s="31" t="s">
        <v>70</v>
      </c>
      <c r="F220" s="31" t="n">
        <v>30</v>
      </c>
      <c r="G220" s="41" t="s">
        <v>217</v>
      </c>
      <c r="H220" s="31"/>
      <c r="I220" s="31"/>
      <c r="J220" s="39" t="s">
        <v>302</v>
      </c>
      <c r="L220" s="31" t="s">
        <v>213</v>
      </c>
      <c r="M220" s="31" t="s">
        <v>214</v>
      </c>
      <c r="N220" s="31" t="s">
        <v>215</v>
      </c>
      <c r="O220" s="32" t="str">
        <f aca="false">CONCATENATE(G220,", ",F220)</f>
        <v>NOGO, 30</v>
      </c>
    </row>
    <row r="221" customFormat="false" ht="15.75" hidden="false" customHeight="true" outlineLevel="0" collapsed="false">
      <c r="A221" s="30" t="n">
        <v>45258</v>
      </c>
      <c r="B221" s="31" t="s">
        <v>103</v>
      </c>
      <c r="C221" s="31" t="s">
        <v>119</v>
      </c>
      <c r="D221" s="31" t="n">
        <v>9</v>
      </c>
      <c r="E221" s="31" t="s">
        <v>35</v>
      </c>
      <c r="F221" s="31" t="n">
        <v>30</v>
      </c>
      <c r="G221" s="41" t="s">
        <v>217</v>
      </c>
      <c r="H221" s="31"/>
      <c r="I221" s="31" t="s">
        <v>303</v>
      </c>
      <c r="J221" s="39" t="s">
        <v>302</v>
      </c>
      <c r="L221" s="31" t="s">
        <v>213</v>
      </c>
      <c r="M221" s="31" t="s">
        <v>214</v>
      </c>
      <c r="N221" s="31" t="s">
        <v>215</v>
      </c>
      <c r="O221" s="32" t="str">
        <f aca="false">CONCATENATE(G221,", ",F221)</f>
        <v>NOGO, 30</v>
      </c>
    </row>
    <row r="222" customFormat="false" ht="15.75" hidden="false" customHeight="true" outlineLevel="0" collapsed="false">
      <c r="A222" s="30" t="n">
        <v>45258</v>
      </c>
      <c r="B222" s="31" t="s">
        <v>103</v>
      </c>
      <c r="C222" s="31" t="s">
        <v>119</v>
      </c>
      <c r="D222" s="31" t="n">
        <v>10</v>
      </c>
      <c r="E222" s="31" t="s">
        <v>14</v>
      </c>
      <c r="F222" s="31" t="n">
        <v>19.61</v>
      </c>
      <c r="G222" s="41" t="s">
        <v>211</v>
      </c>
      <c r="H222" s="31"/>
      <c r="I222" s="31" t="s">
        <v>304</v>
      </c>
      <c r="J222" s="39" t="s">
        <v>302</v>
      </c>
      <c r="L222" s="31" t="s">
        <v>213</v>
      </c>
      <c r="M222" s="31" t="s">
        <v>214</v>
      </c>
      <c r="N222" s="31" t="s">
        <v>215</v>
      </c>
      <c r="O222" s="32" t="str">
        <f aca="false">CONCATENATE(G222,", ",F222)</f>
        <v>GO, 19.61</v>
      </c>
    </row>
    <row r="223" customFormat="false" ht="15.75" hidden="false" customHeight="true" outlineLevel="0" collapsed="false">
      <c r="A223" s="30" t="n">
        <v>45258</v>
      </c>
      <c r="B223" s="31" t="s">
        <v>103</v>
      </c>
      <c r="C223" s="31" t="s">
        <v>119</v>
      </c>
      <c r="D223" s="31" t="n">
        <v>11</v>
      </c>
      <c r="E223" s="31" t="s">
        <v>35</v>
      </c>
      <c r="F223" s="31" t="n">
        <v>30</v>
      </c>
      <c r="G223" s="41" t="s">
        <v>217</v>
      </c>
      <c r="H223" s="31"/>
      <c r="I223" s="31" t="s">
        <v>190</v>
      </c>
      <c r="J223" s="39" t="s">
        <v>302</v>
      </c>
      <c r="L223" s="31" t="s">
        <v>213</v>
      </c>
      <c r="M223" s="31" t="s">
        <v>214</v>
      </c>
      <c r="N223" s="31" t="s">
        <v>215</v>
      </c>
      <c r="O223" s="32" t="str">
        <f aca="false">CONCATENATE(G223,", ",F223)</f>
        <v>NOGO, 30</v>
      </c>
    </row>
    <row r="224" customFormat="false" ht="15.75" hidden="false" customHeight="true" outlineLevel="0" collapsed="false">
      <c r="A224" s="30" t="n">
        <v>45258</v>
      </c>
      <c r="B224" s="31" t="s">
        <v>103</v>
      </c>
      <c r="C224" s="31" t="s">
        <v>119</v>
      </c>
      <c r="D224" s="31" t="n">
        <v>12</v>
      </c>
      <c r="E224" s="31" t="s">
        <v>35</v>
      </c>
      <c r="F224" s="31" t="n">
        <v>30</v>
      </c>
      <c r="G224" s="41" t="s">
        <v>217</v>
      </c>
      <c r="H224" s="31"/>
      <c r="I224" s="31" t="s">
        <v>191</v>
      </c>
      <c r="J224" s="39" t="s">
        <v>302</v>
      </c>
      <c r="L224" s="31" t="s">
        <v>213</v>
      </c>
      <c r="M224" s="31" t="s">
        <v>214</v>
      </c>
      <c r="N224" s="31" t="s">
        <v>215</v>
      </c>
      <c r="O224" s="32" t="str">
        <f aca="false">CONCATENATE(G224,", ",F224)</f>
        <v>NOGO, 30</v>
      </c>
    </row>
    <row r="225" customFormat="false" ht="15.75" hidden="false" customHeight="true" outlineLevel="0" collapsed="false">
      <c r="A225" s="30" t="n">
        <v>45258</v>
      </c>
      <c r="B225" s="31" t="s">
        <v>103</v>
      </c>
      <c r="C225" s="31" t="s">
        <v>119</v>
      </c>
      <c r="D225" s="31" t="n">
        <v>13</v>
      </c>
      <c r="E225" s="31" t="s">
        <v>14</v>
      </c>
      <c r="F225" s="31" t="n">
        <v>8.87</v>
      </c>
      <c r="G225" s="41" t="s">
        <v>211</v>
      </c>
      <c r="H225" s="31"/>
      <c r="I225" s="31" t="s">
        <v>192</v>
      </c>
      <c r="J225" s="39" t="s">
        <v>302</v>
      </c>
      <c r="L225" s="31" t="s">
        <v>213</v>
      </c>
      <c r="M225" s="31" t="s">
        <v>214</v>
      </c>
      <c r="N225" s="31" t="s">
        <v>215</v>
      </c>
      <c r="O225" s="32" t="str">
        <f aca="false">CONCATENATE(G225,", ",F225)</f>
        <v>GO, 8.87</v>
      </c>
    </row>
    <row r="226" customFormat="false" ht="15.75" hidden="false" customHeight="true" outlineLevel="0" collapsed="false">
      <c r="A226" s="30" t="n">
        <v>45258</v>
      </c>
      <c r="B226" s="31" t="s">
        <v>103</v>
      </c>
      <c r="C226" s="31" t="s">
        <v>119</v>
      </c>
      <c r="D226" s="31" t="n">
        <v>14</v>
      </c>
      <c r="E226" s="31" t="s">
        <v>112</v>
      </c>
      <c r="F226" s="31" t="n">
        <v>30</v>
      </c>
      <c r="G226" s="41" t="s">
        <v>217</v>
      </c>
      <c r="H226" s="31"/>
      <c r="I226" s="31" t="s">
        <v>193</v>
      </c>
      <c r="J226" s="39" t="s">
        <v>302</v>
      </c>
      <c r="L226" s="31" t="s">
        <v>213</v>
      </c>
      <c r="M226" s="31" t="s">
        <v>214</v>
      </c>
      <c r="N226" s="31" t="s">
        <v>215</v>
      </c>
      <c r="O226" s="32" t="str">
        <f aca="false">CONCATENATE(G226,", ",F226)</f>
        <v>NOGO, 30</v>
      </c>
    </row>
    <row r="227" customFormat="false" ht="15.75" hidden="false" customHeight="true" outlineLevel="0" collapsed="false">
      <c r="A227" s="30" t="n">
        <v>45258</v>
      </c>
      <c r="B227" s="31" t="s">
        <v>103</v>
      </c>
      <c r="C227" s="31" t="s">
        <v>119</v>
      </c>
      <c r="D227" s="31" t="n">
        <v>15</v>
      </c>
      <c r="E227" s="31" t="s">
        <v>14</v>
      </c>
      <c r="F227" s="31" t="n">
        <v>8.09</v>
      </c>
      <c r="G227" s="41" t="s">
        <v>211</v>
      </c>
      <c r="H227" s="31"/>
      <c r="I227" s="31" t="s">
        <v>193</v>
      </c>
      <c r="J227" s="39" t="s">
        <v>302</v>
      </c>
      <c r="L227" s="31" t="s">
        <v>213</v>
      </c>
      <c r="M227" s="31" t="s">
        <v>214</v>
      </c>
      <c r="N227" s="31" t="s">
        <v>215</v>
      </c>
      <c r="O227" s="32" t="str">
        <f aca="false">CONCATENATE(G227,", ",F227)</f>
        <v>GO, 8.09</v>
      </c>
    </row>
    <row r="228" customFormat="false" ht="15.75" hidden="false" customHeight="true" outlineLevel="0" collapsed="false">
      <c r="A228" s="30" t="n">
        <v>45247</v>
      </c>
      <c r="B228" s="31" t="s">
        <v>49</v>
      </c>
      <c r="C228" s="31" t="s">
        <v>117</v>
      </c>
      <c r="D228" s="31" t="n">
        <v>1</v>
      </c>
      <c r="E228" s="31" t="s">
        <v>14</v>
      </c>
      <c r="F228" s="31" t="n">
        <v>11.13</v>
      </c>
      <c r="G228" s="41" t="s">
        <v>211</v>
      </c>
      <c r="H228" s="31"/>
      <c r="I228" s="31" t="s">
        <v>129</v>
      </c>
      <c r="J228" s="39" t="s">
        <v>305</v>
      </c>
      <c r="L228" s="31" t="s">
        <v>213</v>
      </c>
      <c r="M228" s="31" t="s">
        <v>214</v>
      </c>
      <c r="N228" s="31" t="s">
        <v>215</v>
      </c>
      <c r="O228" s="32" t="str">
        <f aca="false">CONCATENATE(G228,", ",F228)</f>
        <v>GO, 11.13</v>
      </c>
    </row>
    <row r="229" customFormat="false" ht="15.75" hidden="false" customHeight="true" outlineLevel="0" collapsed="false">
      <c r="A229" s="30" t="n">
        <v>45247</v>
      </c>
      <c r="B229" s="31" t="s">
        <v>49</v>
      </c>
      <c r="C229" s="31" t="s">
        <v>117</v>
      </c>
      <c r="D229" s="31" t="n">
        <v>2</v>
      </c>
      <c r="E229" s="31" t="s">
        <v>14</v>
      </c>
      <c r="F229" s="31" t="n">
        <v>12.67</v>
      </c>
      <c r="G229" s="41" t="s">
        <v>211</v>
      </c>
      <c r="H229" s="31"/>
      <c r="I229" s="31"/>
      <c r="J229" s="39" t="s">
        <v>305</v>
      </c>
      <c r="L229" s="31" t="s">
        <v>213</v>
      </c>
      <c r="M229" s="31" t="s">
        <v>214</v>
      </c>
      <c r="N229" s="31" t="s">
        <v>215</v>
      </c>
      <c r="O229" s="32" t="str">
        <f aca="false">CONCATENATE(G229,", ",F229)</f>
        <v>GO, 12.67</v>
      </c>
    </row>
    <row r="230" customFormat="false" ht="15.75" hidden="false" customHeight="true" outlineLevel="0" collapsed="false">
      <c r="A230" s="30" t="n">
        <v>45247</v>
      </c>
      <c r="B230" s="31" t="s">
        <v>49</v>
      </c>
      <c r="C230" s="31" t="s">
        <v>117</v>
      </c>
      <c r="D230" s="31" t="n">
        <v>3</v>
      </c>
      <c r="E230" s="31" t="s">
        <v>14</v>
      </c>
      <c r="F230" s="31" t="n">
        <v>11.73</v>
      </c>
      <c r="G230" s="41" t="s">
        <v>211</v>
      </c>
      <c r="H230" s="31"/>
      <c r="I230" s="31"/>
      <c r="J230" s="39" t="s">
        <v>305</v>
      </c>
      <c r="L230" s="31" t="s">
        <v>213</v>
      </c>
      <c r="M230" s="31" t="s">
        <v>214</v>
      </c>
      <c r="N230" s="31" t="s">
        <v>215</v>
      </c>
      <c r="O230" s="32" t="str">
        <f aca="false">CONCATENATE(G230,", ",F230)</f>
        <v>GO, 11.73</v>
      </c>
    </row>
    <row r="231" customFormat="false" ht="15.75" hidden="false" customHeight="true" outlineLevel="0" collapsed="false">
      <c r="A231" s="30" t="n">
        <v>45247</v>
      </c>
      <c r="B231" s="31" t="s">
        <v>49</v>
      </c>
      <c r="C231" s="31" t="s">
        <v>117</v>
      </c>
      <c r="D231" s="31" t="n">
        <v>4</v>
      </c>
      <c r="E231" s="31" t="s">
        <v>14</v>
      </c>
      <c r="F231" s="31" t="n">
        <v>14</v>
      </c>
      <c r="G231" s="41" t="s">
        <v>211</v>
      </c>
      <c r="H231" s="31"/>
      <c r="I231" s="31"/>
      <c r="J231" s="39" t="s">
        <v>305</v>
      </c>
      <c r="L231" s="31" t="s">
        <v>213</v>
      </c>
      <c r="M231" s="31" t="s">
        <v>214</v>
      </c>
      <c r="N231" s="31" t="s">
        <v>215</v>
      </c>
      <c r="O231" s="32" t="str">
        <f aca="false">CONCATENATE(G231,", ",F231)</f>
        <v>GO, 14</v>
      </c>
    </row>
    <row r="232" customFormat="false" ht="15.75" hidden="false" customHeight="true" outlineLevel="0" collapsed="false">
      <c r="A232" s="30" t="n">
        <v>45247</v>
      </c>
      <c r="B232" s="31" t="s">
        <v>49</v>
      </c>
      <c r="C232" s="31" t="s">
        <v>117</v>
      </c>
      <c r="D232" s="31" t="n">
        <v>5</v>
      </c>
      <c r="E232" s="31" t="s">
        <v>14</v>
      </c>
      <c r="F232" s="31" t="n">
        <v>12.4</v>
      </c>
      <c r="G232" s="41" t="s">
        <v>211</v>
      </c>
      <c r="H232" s="31"/>
      <c r="I232" s="31"/>
      <c r="J232" s="39" t="s">
        <v>305</v>
      </c>
      <c r="L232" s="31" t="s">
        <v>213</v>
      </c>
      <c r="M232" s="31" t="s">
        <v>214</v>
      </c>
      <c r="N232" s="31" t="s">
        <v>215</v>
      </c>
      <c r="O232" s="32" t="str">
        <f aca="false">CONCATENATE(G232,", ",F232)</f>
        <v>GO, 12.4</v>
      </c>
    </row>
    <row r="233" customFormat="false" ht="15.75" hidden="false" customHeight="true" outlineLevel="0" collapsed="false">
      <c r="A233" s="30" t="n">
        <v>45247</v>
      </c>
      <c r="B233" s="31" t="s">
        <v>49</v>
      </c>
      <c r="C233" s="31" t="s">
        <v>117</v>
      </c>
      <c r="D233" s="31" t="n">
        <v>6</v>
      </c>
      <c r="E233" s="31" t="s">
        <v>14</v>
      </c>
      <c r="F233" s="31" t="n">
        <v>12.94</v>
      </c>
      <c r="G233" s="41" t="s">
        <v>211</v>
      </c>
      <c r="H233" s="31"/>
      <c r="I233" s="31"/>
      <c r="J233" s="39" t="s">
        <v>305</v>
      </c>
      <c r="L233" s="31" t="s">
        <v>213</v>
      </c>
      <c r="M233" s="31" t="s">
        <v>214</v>
      </c>
      <c r="N233" s="31" t="s">
        <v>215</v>
      </c>
      <c r="O233" s="32" t="str">
        <f aca="false">CONCATENATE(G233,", ",F233)</f>
        <v>GO, 12.94</v>
      </c>
    </row>
    <row r="234" customFormat="false" ht="15.75" hidden="false" customHeight="true" outlineLevel="0" collapsed="false">
      <c r="A234" s="30" t="n">
        <v>45247</v>
      </c>
      <c r="B234" s="31" t="s">
        <v>49</v>
      </c>
      <c r="C234" s="31" t="s">
        <v>117</v>
      </c>
      <c r="D234" s="31" t="n">
        <v>7</v>
      </c>
      <c r="E234" s="31" t="s">
        <v>14</v>
      </c>
      <c r="F234" s="31" t="n">
        <v>12.37</v>
      </c>
      <c r="G234" s="41" t="s">
        <v>211</v>
      </c>
      <c r="H234" s="31"/>
      <c r="I234" s="31"/>
      <c r="J234" s="39" t="s">
        <v>305</v>
      </c>
      <c r="L234" s="31" t="s">
        <v>213</v>
      </c>
      <c r="M234" s="31" t="s">
        <v>214</v>
      </c>
      <c r="N234" s="31" t="s">
        <v>215</v>
      </c>
      <c r="O234" s="32" t="str">
        <f aca="false">CONCATENATE(G234,", ",F234)</f>
        <v>GO, 12.37</v>
      </c>
    </row>
    <row r="235" customFormat="false" ht="15.75" hidden="false" customHeight="true" outlineLevel="0" collapsed="false">
      <c r="A235" s="30" t="n">
        <v>45247</v>
      </c>
      <c r="B235" s="31" t="s">
        <v>49</v>
      </c>
      <c r="C235" s="31" t="s">
        <v>117</v>
      </c>
      <c r="D235" s="31" t="n">
        <v>8</v>
      </c>
      <c r="E235" s="31" t="s">
        <v>14</v>
      </c>
      <c r="F235" s="31" t="n">
        <v>26.7</v>
      </c>
      <c r="G235" s="41" t="s">
        <v>211</v>
      </c>
      <c r="H235" s="31"/>
      <c r="I235" s="31"/>
      <c r="J235" s="39" t="s">
        <v>305</v>
      </c>
      <c r="L235" s="31" t="s">
        <v>213</v>
      </c>
      <c r="M235" s="31" t="s">
        <v>214</v>
      </c>
      <c r="N235" s="31" t="s">
        <v>215</v>
      </c>
      <c r="O235" s="32" t="str">
        <f aca="false">CONCATENATE(G235,", ",F235)</f>
        <v>GO, 26.7</v>
      </c>
    </row>
    <row r="236" customFormat="false" ht="15.75" hidden="false" customHeight="true" outlineLevel="0" collapsed="false">
      <c r="A236" s="30" t="n">
        <v>45247</v>
      </c>
      <c r="B236" s="31" t="s">
        <v>49</v>
      </c>
      <c r="C236" s="31" t="s">
        <v>117</v>
      </c>
      <c r="D236" s="31" t="n">
        <v>9</v>
      </c>
      <c r="E236" s="31" t="s">
        <v>14</v>
      </c>
      <c r="F236" s="31" t="n">
        <v>16.89</v>
      </c>
      <c r="G236" s="41" t="s">
        <v>211</v>
      </c>
      <c r="H236" s="31"/>
      <c r="I236" s="31"/>
      <c r="J236" s="39" t="s">
        <v>305</v>
      </c>
      <c r="L236" s="31" t="s">
        <v>213</v>
      </c>
      <c r="M236" s="31" t="s">
        <v>214</v>
      </c>
      <c r="N236" s="31" t="s">
        <v>215</v>
      </c>
      <c r="O236" s="32" t="str">
        <f aca="false">CONCATENATE(G236,", ",F236)</f>
        <v>GO, 16.89</v>
      </c>
    </row>
    <row r="237" customFormat="false" ht="15.75" hidden="false" customHeight="true" outlineLevel="0" collapsed="false">
      <c r="A237" s="30" t="n">
        <v>45247</v>
      </c>
      <c r="B237" s="31" t="s">
        <v>49</v>
      </c>
      <c r="C237" s="31" t="s">
        <v>117</v>
      </c>
      <c r="D237" s="31" t="n">
        <v>10</v>
      </c>
      <c r="E237" s="31" t="s">
        <v>14</v>
      </c>
      <c r="F237" s="31" t="n">
        <v>11.99</v>
      </c>
      <c r="G237" s="41" t="s">
        <v>211</v>
      </c>
      <c r="H237" s="31"/>
      <c r="I237" s="31"/>
      <c r="J237" s="39" t="s">
        <v>305</v>
      </c>
      <c r="L237" s="31" t="s">
        <v>213</v>
      </c>
      <c r="M237" s="31" t="s">
        <v>214</v>
      </c>
      <c r="N237" s="31" t="s">
        <v>215</v>
      </c>
      <c r="O237" s="32" t="str">
        <f aca="false">CONCATENATE(G237,", ",F237)</f>
        <v>GO, 11.99</v>
      </c>
    </row>
    <row r="238" customFormat="false" ht="15.75" hidden="false" customHeight="true" outlineLevel="0" collapsed="false">
      <c r="A238" s="30" t="n">
        <v>45247</v>
      </c>
      <c r="B238" s="31" t="s">
        <v>49</v>
      </c>
      <c r="C238" s="31" t="s">
        <v>117</v>
      </c>
      <c r="D238" s="31" t="n">
        <v>11</v>
      </c>
      <c r="E238" s="31" t="s">
        <v>257</v>
      </c>
      <c r="F238" s="31" t="n">
        <v>30</v>
      </c>
      <c r="G238" s="41" t="s">
        <v>217</v>
      </c>
      <c r="H238" s="31"/>
      <c r="I238" s="31"/>
      <c r="J238" s="39" t="s">
        <v>305</v>
      </c>
      <c r="L238" s="31" t="s">
        <v>213</v>
      </c>
      <c r="M238" s="31" t="s">
        <v>214</v>
      </c>
      <c r="N238" s="31" t="s">
        <v>215</v>
      </c>
      <c r="O238" s="32" t="str">
        <f aca="false">CONCATENATE(G238,", ",F238)</f>
        <v>NOGO, 30</v>
      </c>
    </row>
    <row r="239" customFormat="false" ht="15.75" hidden="false" customHeight="true" outlineLevel="0" collapsed="false">
      <c r="A239" s="30" t="n">
        <v>45247</v>
      </c>
      <c r="B239" s="31" t="s">
        <v>49</v>
      </c>
      <c r="C239" s="31" t="s">
        <v>117</v>
      </c>
      <c r="D239" s="31" t="n">
        <v>12</v>
      </c>
      <c r="E239" s="31" t="s">
        <v>257</v>
      </c>
      <c r="F239" s="31" t="n">
        <v>30</v>
      </c>
      <c r="G239" s="41" t="s">
        <v>217</v>
      </c>
      <c r="H239" s="31"/>
      <c r="I239" s="31"/>
      <c r="J239" s="39" t="s">
        <v>305</v>
      </c>
      <c r="L239" s="31" t="s">
        <v>213</v>
      </c>
      <c r="M239" s="31" t="s">
        <v>214</v>
      </c>
      <c r="N239" s="31" t="s">
        <v>215</v>
      </c>
      <c r="O239" s="32" t="str">
        <f aca="false">CONCATENATE(G239,", ",F239)</f>
        <v>NOGO, 30</v>
      </c>
    </row>
    <row r="240" customFormat="false" ht="15.75" hidden="false" customHeight="true" outlineLevel="0" collapsed="false">
      <c r="A240" s="30" t="n">
        <v>45247</v>
      </c>
      <c r="B240" s="31" t="s">
        <v>49</v>
      </c>
      <c r="C240" s="31" t="s">
        <v>117</v>
      </c>
      <c r="D240" s="31" t="n">
        <v>13</v>
      </c>
      <c r="E240" s="31" t="s">
        <v>257</v>
      </c>
      <c r="F240" s="31" t="n">
        <v>30</v>
      </c>
      <c r="G240" s="41" t="s">
        <v>217</v>
      </c>
      <c r="H240" s="31"/>
      <c r="I240" s="31"/>
      <c r="J240" s="39" t="s">
        <v>305</v>
      </c>
      <c r="L240" s="31" t="s">
        <v>213</v>
      </c>
      <c r="M240" s="31" t="s">
        <v>214</v>
      </c>
      <c r="N240" s="31" t="s">
        <v>215</v>
      </c>
      <c r="O240" s="32" t="str">
        <f aca="false">CONCATENATE(G240,", ",F240)</f>
        <v>NOGO, 30</v>
      </c>
    </row>
    <row r="241" customFormat="false" ht="15.75" hidden="false" customHeight="true" outlineLevel="0" collapsed="false">
      <c r="A241" s="30" t="n">
        <v>45247</v>
      </c>
      <c r="B241" s="31" t="s">
        <v>49</v>
      </c>
      <c r="C241" s="31" t="s">
        <v>117</v>
      </c>
      <c r="D241" s="31" t="n">
        <v>14</v>
      </c>
      <c r="E241" s="31" t="s">
        <v>257</v>
      </c>
      <c r="F241" s="31" t="n">
        <v>30</v>
      </c>
      <c r="G241" s="41" t="s">
        <v>217</v>
      </c>
      <c r="H241" s="31"/>
      <c r="I241" s="31"/>
      <c r="J241" s="39" t="s">
        <v>305</v>
      </c>
      <c r="L241" s="31" t="s">
        <v>213</v>
      </c>
      <c r="M241" s="31" t="s">
        <v>214</v>
      </c>
      <c r="N241" s="31" t="s">
        <v>215</v>
      </c>
      <c r="O241" s="32" t="str">
        <f aca="false">CONCATENATE(G241,", ",F241)</f>
        <v>NOGO, 30</v>
      </c>
    </row>
    <row r="242" customFormat="false" ht="15.75" hidden="false" customHeight="true" outlineLevel="0" collapsed="false">
      <c r="A242" s="30" t="n">
        <v>45247</v>
      </c>
      <c r="B242" s="31" t="s">
        <v>49</v>
      </c>
      <c r="C242" s="31" t="s">
        <v>117</v>
      </c>
      <c r="D242" s="31" t="n">
        <v>15</v>
      </c>
      <c r="E242" s="31" t="s">
        <v>257</v>
      </c>
      <c r="F242" s="31" t="n">
        <v>30</v>
      </c>
      <c r="G242" s="41" t="s">
        <v>217</v>
      </c>
      <c r="H242" s="31"/>
      <c r="I242" s="31"/>
      <c r="J242" s="39" t="s">
        <v>305</v>
      </c>
      <c r="L242" s="31" t="s">
        <v>213</v>
      </c>
      <c r="M242" s="31" t="s">
        <v>214</v>
      </c>
      <c r="N242" s="31" t="s">
        <v>215</v>
      </c>
      <c r="O242" s="32" t="str">
        <f aca="false">CONCATENATE(G242,", ",F242)</f>
        <v>NOGO, 30</v>
      </c>
    </row>
    <row r="243" customFormat="false" ht="15.75" hidden="false" customHeight="true" outlineLevel="0" collapsed="false">
      <c r="A243" s="30" t="n">
        <v>45247</v>
      </c>
      <c r="B243" s="31" t="s">
        <v>49</v>
      </c>
      <c r="C243" s="31" t="s">
        <v>117</v>
      </c>
      <c r="D243" s="31" t="n">
        <v>16</v>
      </c>
      <c r="E243" s="31" t="s">
        <v>257</v>
      </c>
      <c r="F243" s="31" t="n">
        <v>30</v>
      </c>
      <c r="G243" s="41" t="s">
        <v>217</v>
      </c>
      <c r="H243" s="31"/>
      <c r="I243" s="31"/>
      <c r="J243" s="39" t="s">
        <v>305</v>
      </c>
      <c r="L243" s="31" t="s">
        <v>213</v>
      </c>
      <c r="M243" s="31" t="s">
        <v>214</v>
      </c>
      <c r="N243" s="31" t="s">
        <v>215</v>
      </c>
      <c r="O243" s="32" t="str">
        <f aca="false">CONCATENATE(G243,", ",F243)</f>
        <v>NOGO, 30</v>
      </c>
    </row>
    <row r="244" customFormat="false" ht="15.75" hidden="false" customHeight="true" outlineLevel="0" collapsed="false">
      <c r="A244" s="30" t="n">
        <v>45247</v>
      </c>
      <c r="B244" s="31" t="s">
        <v>49</v>
      </c>
      <c r="C244" s="31" t="s">
        <v>117</v>
      </c>
      <c r="D244" s="31" t="n">
        <v>17</v>
      </c>
      <c r="E244" s="31" t="s">
        <v>257</v>
      </c>
      <c r="F244" s="31" t="n">
        <v>30</v>
      </c>
      <c r="G244" s="41" t="s">
        <v>217</v>
      </c>
      <c r="H244" s="31"/>
      <c r="I244" s="31"/>
      <c r="J244" s="39" t="s">
        <v>305</v>
      </c>
      <c r="L244" s="31" t="s">
        <v>213</v>
      </c>
      <c r="M244" s="31" t="s">
        <v>214</v>
      </c>
      <c r="N244" s="31" t="s">
        <v>215</v>
      </c>
      <c r="O244" s="32" t="str">
        <f aca="false">CONCATENATE(G244,", ",F244)</f>
        <v>NOGO, 30</v>
      </c>
    </row>
    <row r="245" customFormat="false" ht="15.75" hidden="false" customHeight="true" outlineLevel="0" collapsed="false">
      <c r="A245" s="30" t="n">
        <v>45247</v>
      </c>
      <c r="B245" s="31" t="s">
        <v>49</v>
      </c>
      <c r="C245" s="31" t="s">
        <v>117</v>
      </c>
      <c r="D245" s="31" t="n">
        <v>18</v>
      </c>
      <c r="E245" s="31" t="s">
        <v>257</v>
      </c>
      <c r="F245" s="31" t="n">
        <v>30</v>
      </c>
      <c r="G245" s="41" t="s">
        <v>217</v>
      </c>
      <c r="H245" s="31"/>
      <c r="I245" s="31"/>
      <c r="J245" s="39" t="s">
        <v>305</v>
      </c>
      <c r="L245" s="31" t="s">
        <v>213</v>
      </c>
      <c r="M245" s="31" t="s">
        <v>214</v>
      </c>
      <c r="N245" s="31" t="s">
        <v>215</v>
      </c>
      <c r="O245" s="32" t="str">
        <f aca="false">CONCATENATE(G245,", ",F245)</f>
        <v>NOGO, 30</v>
      </c>
    </row>
    <row r="246" customFormat="false" ht="15.75" hidden="false" customHeight="true" outlineLevel="0" collapsed="false">
      <c r="A246" s="30" t="n">
        <v>45247</v>
      </c>
      <c r="B246" s="31" t="s">
        <v>49</v>
      </c>
      <c r="C246" s="31" t="s">
        <v>117</v>
      </c>
      <c r="D246" s="31" t="n">
        <v>19</v>
      </c>
      <c r="E246" s="31" t="s">
        <v>257</v>
      </c>
      <c r="F246" s="31" t="n">
        <v>30</v>
      </c>
      <c r="G246" s="41" t="s">
        <v>217</v>
      </c>
      <c r="H246" s="31"/>
      <c r="I246" s="31"/>
      <c r="J246" s="39" t="s">
        <v>305</v>
      </c>
      <c r="L246" s="31" t="s">
        <v>213</v>
      </c>
      <c r="M246" s="31" t="s">
        <v>214</v>
      </c>
      <c r="N246" s="31" t="s">
        <v>215</v>
      </c>
      <c r="O246" s="32" t="str">
        <f aca="false">CONCATENATE(G246,", ",F246)</f>
        <v>NOGO, 30</v>
      </c>
    </row>
    <row r="247" customFormat="false" ht="15.75" hidden="false" customHeight="true" outlineLevel="0" collapsed="false">
      <c r="A247" s="30" t="n">
        <v>45247</v>
      </c>
      <c r="B247" s="31" t="s">
        <v>49</v>
      </c>
      <c r="C247" s="31" t="s">
        <v>117</v>
      </c>
      <c r="D247" s="31" t="n">
        <v>20</v>
      </c>
      <c r="E247" s="31" t="s">
        <v>257</v>
      </c>
      <c r="F247" s="31" t="n">
        <v>30</v>
      </c>
      <c r="G247" s="41" t="s">
        <v>217</v>
      </c>
      <c r="H247" s="31"/>
      <c r="I247" s="31"/>
      <c r="J247" s="39" t="s">
        <v>305</v>
      </c>
      <c r="L247" s="31" t="s">
        <v>213</v>
      </c>
      <c r="M247" s="31" t="s">
        <v>214</v>
      </c>
      <c r="N247" s="31" t="s">
        <v>215</v>
      </c>
      <c r="O247" s="32" t="str">
        <f aca="false">CONCATENATE(G247,", ",F247)</f>
        <v>NOGO, 30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74609375" defaultRowHeight="12.8" zeroHeight="false" outlineLevelRow="0" outlineLevelCol="0"/>
  <sheetData>
    <row r="1" customFormat="false" ht="12.8" hidden="false" customHeight="false" outlineLevel="0" collapsed="false">
      <c r="A1" s="30" t="n">
        <v>45247</v>
      </c>
      <c r="B1" s="31" t="s">
        <v>48</v>
      </c>
      <c r="C1" s="31" t="s">
        <v>127</v>
      </c>
      <c r="D1" s="37" t="n">
        <v>1</v>
      </c>
      <c r="E1" s="31" t="s">
        <v>14</v>
      </c>
      <c r="F1" s="31" t="n">
        <v>12.4</v>
      </c>
      <c r="G1" s="41" t="s">
        <v>211</v>
      </c>
      <c r="H1" s="31"/>
      <c r="I1" s="31"/>
      <c r="J1" s="56" t="s">
        <v>306</v>
      </c>
      <c r="K1" s="56" t="s">
        <v>306</v>
      </c>
      <c r="L1" s="31" t="s">
        <v>213</v>
      </c>
      <c r="M1" s="31" t="s">
        <v>214</v>
      </c>
      <c r="N1" s="31" t="s">
        <v>215</v>
      </c>
      <c r="O1" s="32" t="str">
        <f aca="false">CONCATENATE(G1,", ",F1)</f>
        <v>GO, 12.4</v>
      </c>
    </row>
    <row r="2" customFormat="false" ht="12.8" hidden="false" customHeight="false" outlineLevel="0" collapsed="false">
      <c r="A2" s="30" t="n">
        <v>45247</v>
      </c>
      <c r="B2" s="31" t="s">
        <v>48</v>
      </c>
      <c r="C2" s="31" t="s">
        <v>127</v>
      </c>
      <c r="D2" s="37" t="n">
        <v>2</v>
      </c>
      <c r="E2" s="31" t="s">
        <v>35</v>
      </c>
      <c r="F2" s="31" t="n">
        <v>30</v>
      </c>
      <c r="G2" s="41" t="s">
        <v>217</v>
      </c>
      <c r="H2" s="31"/>
      <c r="I2" s="31"/>
      <c r="J2" s="56" t="s">
        <v>306</v>
      </c>
      <c r="K2" s="56" t="s">
        <v>306</v>
      </c>
      <c r="L2" s="31" t="s">
        <v>213</v>
      </c>
      <c r="M2" s="31" t="s">
        <v>214</v>
      </c>
      <c r="N2" s="31" t="s">
        <v>215</v>
      </c>
      <c r="O2" s="32" t="str">
        <f aca="false">CONCATENATE(G2,", ",F2)</f>
        <v>NOGO, 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4054</TotalTime>
  <Application>LibreOffice/24.8.2.1$MacOSX_AARCH64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2024-11-11T08:30:45Z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